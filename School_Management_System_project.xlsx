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drawings/drawing9.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tables/table7.xml" ContentType="application/vnd.openxmlformats-officedocument.spreadsheetml.table+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395615bc0037181/Desktop/priya tyagi/"/>
    </mc:Choice>
  </mc:AlternateContent>
  <xr:revisionPtr revIDLastSave="2543" documentId="11_3B0F6DBEC376710B4312948C858CC9C026299F97" xr6:coauthVersionLast="47" xr6:coauthVersionMax="47" xr10:uidLastSave="{24EB3DC2-2C7C-48F0-8570-002A58D90AFD}"/>
  <bookViews>
    <workbookView xWindow="-108" yWindow="-108" windowWidth="23256" windowHeight="12456" tabRatio="933" xr2:uid="{00000000-000D-0000-FFFF-FFFF00000000}"/>
  </bookViews>
  <sheets>
    <sheet name="Dashboard" sheetId="6" r:id="rId1"/>
    <sheet name="Teachers" sheetId="2" r:id="rId2"/>
    <sheet name="Class 6" sheetId="8" r:id="rId3"/>
    <sheet name="Class 7" sheetId="9" r:id="rId4"/>
    <sheet name="Class 8" sheetId="10" r:id="rId5"/>
    <sheet name="Class 9" sheetId="11" r:id="rId6"/>
    <sheet name="Class 10" sheetId="12" r:id="rId7"/>
    <sheet name="Events" sheetId="4" r:id="rId8"/>
    <sheet name="Pivot Table" sheetId="13" r:id="rId9"/>
    <sheet name="Exam timetable" sheetId="5" r:id="rId10"/>
    <sheet name="All Students" sheetId="15" r:id="rId11"/>
  </sheets>
  <definedNames>
    <definedName name="_xlnm._FilterDatabase" localSheetId="10" hidden="1">'All Students'!$A$2:$D$151</definedName>
    <definedName name="Slicer_Month">#N/A</definedName>
  </definedNames>
  <calcPr calcId="191029"/>
  <pivotCaches>
    <pivotCache cacheId="1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8" l="1"/>
  <c r="P3" i="8"/>
  <c r="D152" i="15"/>
  <c r="C152" i="15"/>
  <c r="B152" i="15"/>
  <c r="B151" i="15"/>
  <c r="A61" i="6"/>
  <c r="O32" i="8"/>
  <c r="P32" i="8"/>
  <c r="B3" i="15"/>
  <c r="B33" i="15"/>
  <c r="B63" i="15"/>
  <c r="B34" i="15"/>
  <c r="B4" i="15"/>
  <c r="B124" i="15"/>
  <c r="B5" i="15"/>
  <c r="B125" i="15"/>
  <c r="B126" i="15"/>
  <c r="B64" i="15"/>
  <c r="B93" i="15"/>
  <c r="B35" i="15"/>
  <c r="B65" i="15"/>
  <c r="B127" i="15"/>
  <c r="B66" i="15"/>
  <c r="B128" i="15"/>
  <c r="B6" i="15"/>
  <c r="B7" i="15"/>
  <c r="B8" i="15"/>
  <c r="B36" i="15"/>
  <c r="B94" i="15"/>
  <c r="B129" i="15"/>
  <c r="B95" i="15"/>
  <c r="B9" i="15"/>
  <c r="B96" i="15"/>
  <c r="B130" i="15"/>
  <c r="B37" i="15"/>
  <c r="B131" i="15"/>
  <c r="B10" i="15"/>
  <c r="B97" i="15"/>
  <c r="B98" i="15"/>
  <c r="B99" i="15"/>
  <c r="B67" i="15"/>
  <c r="B11" i="15"/>
  <c r="B68" i="15"/>
  <c r="B132" i="15"/>
  <c r="B69" i="15"/>
  <c r="B133" i="15"/>
  <c r="B134" i="15"/>
  <c r="B38" i="15"/>
  <c r="B39" i="15"/>
  <c r="B12" i="15"/>
  <c r="B40" i="15"/>
  <c r="B70" i="15"/>
  <c r="B71" i="15"/>
  <c r="B100" i="15"/>
  <c r="B135" i="15"/>
  <c r="B101" i="15"/>
  <c r="B136" i="15"/>
  <c r="B72" i="15"/>
  <c r="B102" i="15"/>
  <c r="B73" i="15"/>
  <c r="B13" i="15"/>
  <c r="B14" i="15"/>
  <c r="B41" i="15"/>
  <c r="B74" i="15"/>
  <c r="B42" i="15"/>
  <c r="B75" i="15"/>
  <c r="B76" i="15"/>
  <c r="B77" i="15"/>
  <c r="B137" i="15"/>
  <c r="B103" i="15"/>
  <c r="B15" i="15"/>
  <c r="B43" i="15"/>
  <c r="B16" i="15"/>
  <c r="B138" i="15"/>
  <c r="B78" i="15"/>
  <c r="B79" i="15"/>
  <c r="B104" i="15"/>
  <c r="B105" i="15"/>
  <c r="B139" i="15"/>
  <c r="B140" i="15"/>
  <c r="B17" i="15"/>
  <c r="B44" i="15"/>
  <c r="B141" i="15"/>
  <c r="B142" i="15"/>
  <c r="B18" i="15"/>
  <c r="B45" i="15"/>
  <c r="B106" i="15"/>
  <c r="B80" i="15"/>
  <c r="B107" i="15"/>
  <c r="B46" i="15"/>
  <c r="B47" i="15"/>
  <c r="B81" i="15"/>
  <c r="B143" i="15"/>
  <c r="B19" i="15"/>
  <c r="B82" i="15"/>
  <c r="B108" i="15"/>
  <c r="B144" i="15"/>
  <c r="B20" i="15"/>
  <c r="B109" i="15"/>
  <c r="B145" i="15"/>
  <c r="B83" i="15"/>
  <c r="B84" i="15"/>
  <c r="B110" i="15"/>
  <c r="B111" i="15"/>
  <c r="B146" i="15"/>
  <c r="B85" i="15"/>
  <c r="B86" i="15"/>
  <c r="B112" i="15"/>
  <c r="B113" i="15"/>
  <c r="B87" i="15"/>
  <c r="B21" i="15"/>
  <c r="B48" i="15"/>
  <c r="B49" i="15"/>
  <c r="B114" i="15"/>
  <c r="B22" i="15"/>
  <c r="B50" i="15"/>
  <c r="B147" i="15"/>
  <c r="B23" i="15"/>
  <c r="B24" i="15"/>
  <c r="B88" i="15"/>
  <c r="B51" i="15"/>
  <c r="B25" i="15"/>
  <c r="B52" i="15"/>
  <c r="B53" i="15"/>
  <c r="B115" i="15"/>
  <c r="B89" i="15"/>
  <c r="B148" i="15"/>
  <c r="B54" i="15"/>
  <c r="B116" i="15"/>
  <c r="B149" i="15"/>
  <c r="B55" i="15"/>
  <c r="B90" i="15"/>
  <c r="B26" i="15"/>
  <c r="B56" i="15"/>
  <c r="B27" i="15"/>
  <c r="B117" i="15"/>
  <c r="B118" i="15"/>
  <c r="B119" i="15"/>
  <c r="B57" i="15"/>
  <c r="B28" i="15"/>
  <c r="B29" i="15"/>
  <c r="B120" i="15"/>
  <c r="B30" i="15"/>
  <c r="B58" i="15"/>
  <c r="B121" i="15"/>
  <c r="B122" i="15"/>
  <c r="B31" i="15"/>
  <c r="B150" i="15"/>
  <c r="B59" i="15"/>
  <c r="B60" i="15"/>
  <c r="B91" i="15"/>
  <c r="B32" i="15"/>
  <c r="B61" i="15"/>
  <c r="B62" i="15"/>
  <c r="B92" i="15"/>
  <c r="B123" i="15"/>
  <c r="C105" i="15"/>
  <c r="C117" i="15"/>
  <c r="C121" i="15"/>
  <c r="C108" i="15"/>
  <c r="C100" i="15"/>
  <c r="C112" i="15"/>
  <c r="C106" i="15"/>
  <c r="C120" i="15"/>
  <c r="C94" i="15"/>
  <c r="C99" i="15"/>
  <c r="C109" i="15"/>
  <c r="C118" i="15"/>
  <c r="C96" i="15"/>
  <c r="C107" i="15"/>
  <c r="C101" i="15"/>
  <c r="C104" i="15"/>
  <c r="C72" i="15"/>
  <c r="C90" i="15"/>
  <c r="C64" i="15"/>
  <c r="C78" i="15"/>
  <c r="C67" i="15"/>
  <c r="C88" i="15"/>
  <c r="C81" i="15"/>
  <c r="C80" i="15"/>
  <c r="C68" i="15"/>
  <c r="C85" i="15"/>
  <c r="C76" i="15"/>
  <c r="C66" i="15"/>
  <c r="C92" i="15"/>
  <c r="C79" i="15"/>
  <c r="C65" i="15"/>
  <c r="P3" i="12"/>
  <c r="P4" i="12"/>
  <c r="P5" i="12"/>
  <c r="C138" i="15" s="1"/>
  <c r="P6" i="12"/>
  <c r="P7" i="12"/>
  <c r="P8" i="12"/>
  <c r="P9" i="12"/>
  <c r="C127" i="15" s="1"/>
  <c r="P10" i="12"/>
  <c r="P11" i="12"/>
  <c r="P12" i="12"/>
  <c r="P13" i="12"/>
  <c r="C139" i="15" s="1"/>
  <c r="P14" i="12"/>
  <c r="C135" i="15" s="1"/>
  <c r="P15" i="12"/>
  <c r="C125" i="15" s="1"/>
  <c r="P16" i="12"/>
  <c r="P17" i="12"/>
  <c r="P18" i="12"/>
  <c r="P19" i="12"/>
  <c r="C148" i="15" s="1"/>
  <c r="P20" i="12"/>
  <c r="P21" i="12"/>
  <c r="P22" i="12"/>
  <c r="C140" i="15" s="1"/>
  <c r="P23" i="12"/>
  <c r="C151" i="15" s="1"/>
  <c r="P24" i="12"/>
  <c r="P25" i="12"/>
  <c r="C126" i="15" s="1"/>
  <c r="P26" i="12"/>
  <c r="C146" i="15" s="1"/>
  <c r="P27" i="12"/>
  <c r="C149" i="15" s="1"/>
  <c r="P28" i="12"/>
  <c r="C123" i="15" s="1"/>
  <c r="P29" i="12"/>
  <c r="P30" i="12"/>
  <c r="C124" i="15" s="1"/>
  <c r="P31" i="12"/>
  <c r="P32" i="12"/>
  <c r="P3" i="11"/>
  <c r="P4" i="11"/>
  <c r="P5" i="11"/>
  <c r="P6" i="11"/>
  <c r="P7" i="11"/>
  <c r="C114" i="15" s="1"/>
  <c r="P8" i="11"/>
  <c r="C97" i="15" s="1"/>
  <c r="P9" i="11"/>
  <c r="C119" i="15" s="1"/>
  <c r="P10" i="11"/>
  <c r="C93" i="15" s="1"/>
  <c r="P11" i="11"/>
  <c r="P12" i="11"/>
  <c r="P13" i="11"/>
  <c r="P14" i="11"/>
  <c r="P15" i="11"/>
  <c r="C122" i="15" s="1"/>
  <c r="P16" i="11"/>
  <c r="C110" i="15" s="1"/>
  <c r="P17" i="11"/>
  <c r="C111" i="15" s="1"/>
  <c r="P18" i="11"/>
  <c r="C98" i="15" s="1"/>
  <c r="P19" i="11"/>
  <c r="P20" i="11"/>
  <c r="P21" i="11"/>
  <c r="P22" i="11"/>
  <c r="P23" i="11"/>
  <c r="C116" i="15" s="1"/>
  <c r="P24" i="11"/>
  <c r="C115" i="15" s="1"/>
  <c r="P25" i="11"/>
  <c r="C95" i="15" s="1"/>
  <c r="P26" i="11"/>
  <c r="C103" i="15" s="1"/>
  <c r="P27" i="11"/>
  <c r="P28" i="11"/>
  <c r="P29" i="11"/>
  <c r="P30" i="11"/>
  <c r="P31" i="11"/>
  <c r="C113" i="15" s="1"/>
  <c r="P32" i="11"/>
  <c r="C102" i="15" s="1"/>
  <c r="P3" i="10"/>
  <c r="C74" i="15" s="1"/>
  <c r="P4" i="10"/>
  <c r="C84" i="15" s="1"/>
  <c r="P5" i="10"/>
  <c r="C73" i="15" s="1"/>
  <c r="P6" i="10"/>
  <c r="P7" i="10"/>
  <c r="P8" i="10"/>
  <c r="P9" i="10"/>
  <c r="P10" i="10"/>
  <c r="C87" i="15" s="1"/>
  <c r="P11" i="10"/>
  <c r="C75" i="15" s="1"/>
  <c r="P12" i="10"/>
  <c r="C69" i="15" s="1"/>
  <c r="P13" i="10"/>
  <c r="C89" i="15" s="1"/>
  <c r="P14" i="10"/>
  <c r="P15" i="10"/>
  <c r="P16" i="10"/>
  <c r="P17" i="10"/>
  <c r="P18" i="10"/>
  <c r="C83" i="15" s="1"/>
  <c r="P19" i="10"/>
  <c r="C82" i="15" s="1"/>
  <c r="P20" i="10"/>
  <c r="C63" i="15" s="1"/>
  <c r="P21" i="10"/>
  <c r="C91" i="15" s="1"/>
  <c r="P22" i="10"/>
  <c r="P23" i="10"/>
  <c r="P24" i="10"/>
  <c r="P25" i="10"/>
  <c r="P26" i="10"/>
  <c r="C70" i="15" s="1"/>
  <c r="P27" i="10"/>
  <c r="C86" i="15" s="1"/>
  <c r="P28" i="10"/>
  <c r="C77" i="15" s="1"/>
  <c r="P29" i="10"/>
  <c r="C71" i="15" s="1"/>
  <c r="P30" i="10"/>
  <c r="P31" i="10"/>
  <c r="P32" i="10"/>
  <c r="P3" i="9"/>
  <c r="C51" i="15" s="1"/>
  <c r="P4" i="9"/>
  <c r="P5" i="9"/>
  <c r="P6" i="9"/>
  <c r="C59" i="15" s="1"/>
  <c r="P7" i="9"/>
  <c r="P8" i="9"/>
  <c r="P9" i="9"/>
  <c r="P10" i="9"/>
  <c r="P11" i="9"/>
  <c r="C46" i="15" s="1"/>
  <c r="P12" i="9"/>
  <c r="C58" i="15" s="1"/>
  <c r="P13" i="9"/>
  <c r="P14" i="9"/>
  <c r="P15" i="9"/>
  <c r="P16" i="9"/>
  <c r="P17" i="9"/>
  <c r="P18" i="9"/>
  <c r="P19" i="9"/>
  <c r="P20" i="9"/>
  <c r="C36" i="15" s="1"/>
  <c r="P21" i="9"/>
  <c r="C38" i="15" s="1"/>
  <c r="P22" i="9"/>
  <c r="C53" i="15" s="1"/>
  <c r="P23" i="9"/>
  <c r="P24" i="9"/>
  <c r="P25" i="9"/>
  <c r="C57" i="15" s="1"/>
  <c r="P26" i="9"/>
  <c r="C47" i="15" s="1"/>
  <c r="P27" i="9"/>
  <c r="P28" i="9"/>
  <c r="P29" i="9"/>
  <c r="P30" i="9"/>
  <c r="P31" i="9"/>
  <c r="P32" i="9"/>
  <c r="P4" i="8"/>
  <c r="P5" i="8"/>
  <c r="C20" i="15" s="1"/>
  <c r="P6" i="8"/>
  <c r="P7" i="8"/>
  <c r="P8" i="8"/>
  <c r="P9" i="8"/>
  <c r="P10" i="8"/>
  <c r="P11" i="8"/>
  <c r="P12" i="8"/>
  <c r="P13" i="8"/>
  <c r="C11" i="15" s="1"/>
  <c r="P14" i="8"/>
  <c r="P15" i="8"/>
  <c r="P16" i="8"/>
  <c r="P17" i="8"/>
  <c r="P18" i="8"/>
  <c r="P19" i="8"/>
  <c r="P20" i="8"/>
  <c r="P21" i="8"/>
  <c r="P22" i="8"/>
  <c r="C13" i="15" s="1"/>
  <c r="P23" i="8"/>
  <c r="P24" i="8"/>
  <c r="P25" i="8"/>
  <c r="P26" i="8"/>
  <c r="C17" i="15" s="1"/>
  <c r="P27" i="8"/>
  <c r="P28" i="8"/>
  <c r="P29" i="8"/>
  <c r="P30" i="8"/>
  <c r="P31" i="8"/>
  <c r="A62" i="6"/>
  <c r="G4" i="4"/>
  <c r="G5" i="4"/>
  <c r="G6" i="4"/>
  <c r="G7" i="4"/>
  <c r="G8" i="4"/>
  <c r="G9" i="4"/>
  <c r="G10" i="4"/>
  <c r="G11" i="4"/>
  <c r="G12" i="4"/>
  <c r="G13" i="4"/>
  <c r="G14" i="4"/>
  <c r="G15" i="4"/>
  <c r="G16" i="4"/>
  <c r="G17" i="4"/>
  <c r="G18" i="4"/>
  <c r="G19" i="4"/>
  <c r="G20" i="4"/>
  <c r="G21" i="4"/>
  <c r="G22" i="4"/>
  <c r="G3" i="4"/>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4" i="8"/>
  <c r="O5" i="8"/>
  <c r="O6" i="8"/>
  <c r="O7" i="8"/>
  <c r="O8" i="8"/>
  <c r="O9" i="8"/>
  <c r="O10" i="8"/>
  <c r="O11" i="8"/>
  <c r="O12" i="8"/>
  <c r="O13" i="8"/>
  <c r="O14" i="8"/>
  <c r="O15" i="8"/>
  <c r="O16" i="8"/>
  <c r="O17" i="8"/>
  <c r="O18" i="8"/>
  <c r="O19" i="8"/>
  <c r="O20" i="8"/>
  <c r="O21" i="8"/>
  <c r="O22" i="8"/>
  <c r="O23" i="8"/>
  <c r="O24" i="8"/>
  <c r="O25" i="8"/>
  <c r="O26" i="8"/>
  <c r="O27" i="8"/>
  <c r="O28" i="8"/>
  <c r="O29" i="8"/>
  <c r="O30" i="8"/>
  <c r="O31" i="8"/>
  <c r="C141" i="15" l="1"/>
  <c r="C131" i="15"/>
  <c r="C150" i="15"/>
  <c r="C132" i="15"/>
  <c r="C136" i="15"/>
  <c r="C144" i="15"/>
  <c r="C134" i="15"/>
  <c r="D134" i="15" s="1"/>
  <c r="C137" i="15"/>
  <c r="D137" i="15" s="1"/>
  <c r="C128" i="15"/>
  <c r="C142" i="15"/>
  <c r="C145" i="15"/>
  <c r="C143" i="15"/>
  <c r="C130" i="15"/>
  <c r="C147" i="15"/>
  <c r="C133" i="15"/>
  <c r="C129" i="15"/>
  <c r="M7" i="15" s="1"/>
  <c r="D151" i="15"/>
  <c r="C35" i="15"/>
  <c r="C41" i="15"/>
  <c r="C44" i="15"/>
  <c r="C43" i="15"/>
  <c r="C40" i="15"/>
  <c r="C42" i="15"/>
  <c r="D42" i="15" s="1"/>
  <c r="C24" i="15"/>
  <c r="C28" i="15"/>
  <c r="C19" i="15"/>
  <c r="C32" i="15"/>
  <c r="D32" i="15" s="1"/>
  <c r="M6" i="15"/>
  <c r="D44" i="15"/>
  <c r="M5" i="15"/>
  <c r="D36" i="15"/>
  <c r="D148" i="15"/>
  <c r="D106" i="15"/>
  <c r="D59" i="15"/>
  <c r="D82" i="15"/>
  <c r="D58" i="15"/>
  <c r="D123" i="15"/>
  <c r="D91" i="15"/>
  <c r="D117" i="15"/>
  <c r="D88" i="15"/>
  <c r="D111" i="15"/>
  <c r="D108" i="15"/>
  <c r="D80" i="15"/>
  <c r="D140" i="15"/>
  <c r="D74" i="15"/>
  <c r="D101" i="15"/>
  <c r="D99" i="15"/>
  <c r="D128" i="15"/>
  <c r="D125" i="15"/>
  <c r="D139" i="15"/>
  <c r="D135" i="15"/>
  <c r="D98" i="15"/>
  <c r="D95" i="15"/>
  <c r="D66" i="15"/>
  <c r="D110" i="15"/>
  <c r="D120" i="15"/>
  <c r="D89" i="15"/>
  <c r="D87" i="15"/>
  <c r="D84" i="15"/>
  <c r="D105" i="15"/>
  <c r="D103" i="15"/>
  <c r="D100" i="15"/>
  <c r="D133" i="15"/>
  <c r="D97" i="15"/>
  <c r="D127" i="15"/>
  <c r="D124" i="15"/>
  <c r="D115" i="15"/>
  <c r="D147" i="15"/>
  <c r="D113" i="15"/>
  <c r="D83" i="15"/>
  <c r="D143" i="15"/>
  <c r="D104" i="15"/>
  <c r="D71" i="15"/>
  <c r="D69" i="15"/>
  <c r="D94" i="15"/>
  <c r="D65" i="15"/>
  <c r="D92" i="15"/>
  <c r="D150" i="15"/>
  <c r="D90" i="15"/>
  <c r="D112" i="15"/>
  <c r="D145" i="15"/>
  <c r="D81" i="15"/>
  <c r="D142" i="15"/>
  <c r="D79" i="15"/>
  <c r="D77" i="15"/>
  <c r="D73" i="15"/>
  <c r="D70" i="15"/>
  <c r="D132" i="15"/>
  <c r="D131" i="15"/>
  <c r="D86" i="15"/>
  <c r="D109" i="15"/>
  <c r="D141" i="15"/>
  <c r="D78" i="15"/>
  <c r="D76" i="15"/>
  <c r="D102" i="15"/>
  <c r="D68" i="15"/>
  <c r="D93" i="15"/>
  <c r="D63" i="15"/>
  <c r="D122" i="15"/>
  <c r="D119" i="15"/>
  <c r="D149" i="15"/>
  <c r="D114" i="15"/>
  <c r="D85" i="15"/>
  <c r="D46" i="15"/>
  <c r="D138" i="15"/>
  <c r="D75" i="15"/>
  <c r="D72" i="15"/>
  <c r="D130" i="15"/>
  <c r="D64" i="15"/>
  <c r="D121" i="15"/>
  <c r="D118" i="15"/>
  <c r="D116" i="15"/>
  <c r="D146" i="15"/>
  <c r="D144" i="15"/>
  <c r="D107" i="15"/>
  <c r="D136" i="15"/>
  <c r="D67" i="15"/>
  <c r="D96" i="15"/>
  <c r="D126" i="15"/>
  <c r="D19" i="15"/>
  <c r="D53" i="15"/>
  <c r="D57" i="15"/>
  <c r="D47" i="15"/>
  <c r="D17" i="15"/>
  <c r="C62" i="15"/>
  <c r="D62" i="15" s="1"/>
  <c r="D51" i="15"/>
  <c r="C45" i="15"/>
  <c r="D45" i="15" s="1"/>
  <c r="C49" i="15"/>
  <c r="D49" i="15" s="1"/>
  <c r="C52" i="15"/>
  <c r="D52" i="15" s="1"/>
  <c r="C55" i="15"/>
  <c r="D55" i="15" s="1"/>
  <c r="D43" i="15"/>
  <c r="D38" i="15"/>
  <c r="C50" i="15"/>
  <c r="D50" i="15" s="1"/>
  <c r="C54" i="15"/>
  <c r="D54" i="15" s="1"/>
  <c r="C37" i="15"/>
  <c r="D37" i="15" s="1"/>
  <c r="C33" i="15"/>
  <c r="D41" i="15"/>
  <c r="C60" i="15"/>
  <c r="D60" i="15" s="1"/>
  <c r="C48" i="15"/>
  <c r="D48" i="15" s="1"/>
  <c r="D35" i="15"/>
  <c r="D40" i="15"/>
  <c r="C56" i="15"/>
  <c r="D56" i="15" s="1"/>
  <c r="C34" i="15"/>
  <c r="D34" i="15" s="1"/>
  <c r="C61" i="15"/>
  <c r="D61" i="15" s="1"/>
  <c r="C39" i="15"/>
  <c r="D39" i="15" s="1"/>
  <c r="C14" i="15"/>
  <c r="D14" i="15" s="1"/>
  <c r="C4" i="15"/>
  <c r="D4" i="15" s="1"/>
  <c r="C31" i="15"/>
  <c r="D31" i="15" s="1"/>
  <c r="C27" i="15"/>
  <c r="D27" i="15" s="1"/>
  <c r="C23" i="15"/>
  <c r="D23" i="15" s="1"/>
  <c r="C9" i="15"/>
  <c r="D9" i="15" s="1"/>
  <c r="C29" i="15"/>
  <c r="D29" i="15" s="1"/>
  <c r="C21" i="15"/>
  <c r="D21" i="15" s="1"/>
  <c r="C18" i="15"/>
  <c r="D18" i="15" s="1"/>
  <c r="C7" i="15"/>
  <c r="D7" i="15" s="1"/>
  <c r="C12" i="15"/>
  <c r="D12" i="15" s="1"/>
  <c r="C10" i="15"/>
  <c r="C8" i="15"/>
  <c r="D8" i="15" s="1"/>
  <c r="C25" i="15"/>
  <c r="D25" i="15" s="1"/>
  <c r="C26" i="15"/>
  <c r="D26" i="15" s="1"/>
  <c r="C30" i="15"/>
  <c r="D30" i="15" s="1"/>
  <c r="C16" i="15"/>
  <c r="D16" i="15" s="1"/>
  <c r="C5" i="15"/>
  <c r="D5" i="15" s="1"/>
  <c r="C15" i="15"/>
  <c r="D15" i="15" s="1"/>
  <c r="C22" i="15"/>
  <c r="D22" i="15" s="1"/>
  <c r="C3" i="15"/>
  <c r="D3" i="15" s="1"/>
  <c r="C6" i="15"/>
  <c r="D6" i="15" s="1"/>
  <c r="D20" i="15"/>
  <c r="D11" i="15"/>
  <c r="D13" i="15"/>
  <c r="D24" i="15"/>
  <c r="D28" i="15"/>
  <c r="D129" i="15" l="1"/>
  <c r="D33" i="15"/>
  <c r="M4" i="15"/>
  <c r="D10" i="15"/>
  <c r="M3" i="15"/>
  <c r="L3" i="15" s="1" a="1"/>
  <c r="L3" i="15" s="1"/>
  <c r="N3" i="15" s="1"/>
  <c r="L4" i="15" a="1"/>
  <c r="L4" i="15" s="1"/>
  <c r="N4" i="15" s="1"/>
  <c r="L5" i="15" a="1"/>
  <c r="L5" i="15" s="1"/>
  <c r="N5" i="15" s="1"/>
  <c r="L6" i="15" a="1"/>
  <c r="L6" i="15" s="1"/>
  <c r="N6" i="15" s="1"/>
  <c r="L7" i="15" a="1"/>
  <c r="L7" i="15" s="1"/>
  <c r="N7" i="1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<sst xmlns="http://schemas.openxmlformats.org/spreadsheetml/2006/main" count="441" uniqueCount="239">
  <si>
    <t>Name</t>
  </si>
  <si>
    <t>Subject</t>
  </si>
  <si>
    <t>Math</t>
  </si>
  <si>
    <t>Science</t>
  </si>
  <si>
    <t>History</t>
  </si>
  <si>
    <t>English</t>
  </si>
  <si>
    <t>Business Studies</t>
  </si>
  <si>
    <t>Economics</t>
  </si>
  <si>
    <t>Geography</t>
  </si>
  <si>
    <t>Music</t>
  </si>
  <si>
    <t>Computer Science</t>
  </si>
  <si>
    <t>Art</t>
  </si>
  <si>
    <t>Student ID</t>
  </si>
  <si>
    <t>Course ID</t>
  </si>
  <si>
    <t>Course Name</t>
  </si>
  <si>
    <t>Year</t>
  </si>
  <si>
    <t>Semester</t>
  </si>
  <si>
    <t>Due Date</t>
  </si>
  <si>
    <t>WR121</t>
  </si>
  <si>
    <t>Writing Composition</t>
  </si>
  <si>
    <t>Spring</t>
  </si>
  <si>
    <t>Quiz #1</t>
  </si>
  <si>
    <t>CS120</t>
  </si>
  <si>
    <t>Intro to Computer</t>
  </si>
  <si>
    <t>Monday</t>
  </si>
  <si>
    <t>Tuesday</t>
  </si>
  <si>
    <t>Wednesday</t>
  </si>
  <si>
    <t>Thursday</t>
  </si>
  <si>
    <t>Ananya Sharma</t>
  </si>
  <si>
    <t>Rohan Verma</t>
  </si>
  <si>
    <t>Arjun Mehta</t>
  </si>
  <si>
    <t>Neha Gupta</t>
  </si>
  <si>
    <t>Karan Patel</t>
  </si>
  <si>
    <t>Rahul Nair</t>
  </si>
  <si>
    <t>Vikram Joshi</t>
  </si>
  <si>
    <t xml:space="preserve">Chemistry </t>
  </si>
  <si>
    <t>Nitika</t>
  </si>
  <si>
    <t>Priya Kapoor</t>
  </si>
  <si>
    <t>Sakshi Singh</t>
  </si>
  <si>
    <t>Jivani</t>
  </si>
  <si>
    <t>Chemistry</t>
  </si>
  <si>
    <t>Physics</t>
  </si>
  <si>
    <t>Aarav Sharma</t>
  </si>
  <si>
    <t>Vihaan Verma</t>
  </si>
  <si>
    <t>Ananya Gupta</t>
  </si>
  <si>
    <t>Diya Singh</t>
  </si>
  <si>
    <t>Aditya Patel</t>
  </si>
  <si>
    <t>Deepak Yadav</t>
  </si>
  <si>
    <t>Total</t>
  </si>
  <si>
    <t>Percentage</t>
  </si>
  <si>
    <t>Date</t>
  </si>
  <si>
    <t>Day</t>
  </si>
  <si>
    <t>Time</t>
  </si>
  <si>
    <t>Friday</t>
  </si>
  <si>
    <t>Saturday</t>
  </si>
  <si>
    <t xml:space="preserve">School Management System </t>
  </si>
  <si>
    <t>Assignment #1</t>
  </si>
  <si>
    <t>MTH101</t>
  </si>
  <si>
    <t>Mathematics</t>
  </si>
  <si>
    <t>Class Test</t>
  </si>
  <si>
    <t>SCI201</t>
  </si>
  <si>
    <t>Lab Practical</t>
  </si>
  <si>
    <t>ENG101</t>
  </si>
  <si>
    <t>Essay Submission</t>
  </si>
  <si>
    <t>BUS301</t>
  </si>
  <si>
    <t>Project Work</t>
  </si>
  <si>
    <t>ECO101</t>
  </si>
  <si>
    <t>Case Study</t>
  </si>
  <si>
    <t>GEO201</t>
  </si>
  <si>
    <t>Map Work</t>
  </si>
  <si>
    <t>MUS101</t>
  </si>
  <si>
    <t>Performance</t>
  </si>
  <si>
    <t>ART101</t>
  </si>
  <si>
    <t>Drawing Submission</t>
  </si>
  <si>
    <t>CSC101</t>
  </si>
  <si>
    <t>Practical Exam</t>
  </si>
  <si>
    <t>CHE101</t>
  </si>
  <si>
    <t>Lab Test</t>
  </si>
  <si>
    <t>PHY101</t>
  </si>
  <si>
    <t>Numerical Test</t>
  </si>
  <si>
    <t>Final Exam</t>
  </si>
  <si>
    <t>Completed</t>
  </si>
  <si>
    <t>Pending</t>
  </si>
  <si>
    <t>Mid Term Exam</t>
  </si>
  <si>
    <t>Project Submission</t>
  </si>
  <si>
    <t>Presentation</t>
  </si>
  <si>
    <t>Final Project</t>
  </si>
  <si>
    <t xml:space="preserve">Status </t>
  </si>
  <si>
    <t>Aarav Kumar</t>
  </si>
  <si>
    <t>Ananya Mehta</t>
  </si>
  <si>
    <t>Ishaan Gupta</t>
  </si>
  <si>
    <t>Diya Yadav</t>
  </si>
  <si>
    <t>Kavya Singh</t>
  </si>
  <si>
    <t>Rohan Joshi</t>
  </si>
  <si>
    <t>Pooja Patel</t>
  </si>
  <si>
    <t>Arjun Verma</t>
  </si>
  <si>
    <t>Sneha Joshi</t>
  </si>
  <si>
    <t>Karan Gupta</t>
  </si>
  <si>
    <t>Meera Joshi</t>
  </si>
  <si>
    <t>Rahul Kumar</t>
  </si>
  <si>
    <t>Tanya Jain</t>
  </si>
  <si>
    <t>Aman Jain</t>
  </si>
  <si>
    <t>Isha Mehta</t>
  </si>
  <si>
    <t>Nikhil Mehta</t>
  </si>
  <si>
    <t>Ritu Kumar</t>
  </si>
  <si>
    <t>Yash Mehta</t>
  </si>
  <si>
    <t>Priyanka Sharma</t>
  </si>
  <si>
    <t>Deepak Patel</t>
  </si>
  <si>
    <t>Simran Singh</t>
  </si>
  <si>
    <t>Varun Patel</t>
  </si>
  <si>
    <t>Neha Patel</t>
  </si>
  <si>
    <t>Harsh Singh</t>
  </si>
  <si>
    <t>Sakshi Sharma</t>
  </si>
  <si>
    <t>Rajesh Joshi</t>
  </si>
  <si>
    <t>Shreya Sharma</t>
  </si>
  <si>
    <t>Manish Gupta</t>
  </si>
  <si>
    <t>Aarav Joshi</t>
  </si>
  <si>
    <t>Vihaan Singh</t>
  </si>
  <si>
    <t>Ishaan Kumar</t>
  </si>
  <si>
    <t>Diya Mehta</t>
  </si>
  <si>
    <t>Aditya Kumar</t>
  </si>
  <si>
    <t>Kavya Verma</t>
  </si>
  <si>
    <t>Rohan Kumar</t>
  </si>
  <si>
    <t>Arjun Singh</t>
  </si>
  <si>
    <t>Sneha Patel</t>
  </si>
  <si>
    <t>Karan Yadav</t>
  </si>
  <si>
    <t>Rahul Singh</t>
  </si>
  <si>
    <t>Tanya Singh</t>
  </si>
  <si>
    <t>Isha Gupta</t>
  </si>
  <si>
    <t>Nikhil Jain</t>
  </si>
  <si>
    <t>Ritu Joshi</t>
  </si>
  <si>
    <t>Yash Gupta</t>
  </si>
  <si>
    <t>Priyanka Kumar</t>
  </si>
  <si>
    <t>Deepak Mehta</t>
  </si>
  <si>
    <t>Simran Verma</t>
  </si>
  <si>
    <t>Varun Kumar</t>
  </si>
  <si>
    <t>Harsh Sharma</t>
  </si>
  <si>
    <t>Rajesh Sharma</t>
  </si>
  <si>
    <t>Shreya Mehta</t>
  </si>
  <si>
    <t>Manish Verma</t>
  </si>
  <si>
    <t>Aarav Yadav</t>
  </si>
  <si>
    <t>Ishaan Singh</t>
  </si>
  <si>
    <t>Diya Sharma</t>
  </si>
  <si>
    <t>Aditya Singh</t>
  </si>
  <si>
    <t>Kavya Sharma</t>
  </si>
  <si>
    <t>Pooja Mehta</t>
  </si>
  <si>
    <t>Sneha Jain</t>
  </si>
  <si>
    <t>Meera Yadav</t>
  </si>
  <si>
    <t>Tanya Yadav</t>
  </si>
  <si>
    <t>Aman Gupta</t>
  </si>
  <si>
    <t>Isha Jain</t>
  </si>
  <si>
    <t>Nikhil Kumar</t>
  </si>
  <si>
    <t>Ritu Verma</t>
  </si>
  <si>
    <t>Yash Yadav</t>
  </si>
  <si>
    <t>Priyanka Mehta</t>
  </si>
  <si>
    <t>Simran Patel</t>
  </si>
  <si>
    <t>Varun Jain</t>
  </si>
  <si>
    <t>Neha Jain</t>
  </si>
  <si>
    <t>Harsh Mehta</t>
  </si>
  <si>
    <t>Sakshi Mehta</t>
  </si>
  <si>
    <t>Rajesh Singh</t>
  </si>
  <si>
    <t>Shreya Verma</t>
  </si>
  <si>
    <t>Manish Singh</t>
  </si>
  <si>
    <t>Ananya Kumar</t>
  </si>
  <si>
    <t>Ishaan Verma</t>
  </si>
  <si>
    <t>Aditya Yadav</t>
  </si>
  <si>
    <t>Kavya Mehta</t>
  </si>
  <si>
    <t>Rohan Yadav</t>
  </si>
  <si>
    <t>Pooja Jain</t>
  </si>
  <si>
    <t>Arjun Sharma</t>
  </si>
  <si>
    <t>Sneha Kumar</t>
  </si>
  <si>
    <t>Karan Sharma</t>
  </si>
  <si>
    <t>Meera Kumar</t>
  </si>
  <si>
    <t>Aman Mehta</t>
  </si>
  <si>
    <t>Nikhil Yadav</t>
  </si>
  <si>
    <t>Ritu Yadav</t>
  </si>
  <si>
    <t>Priyanka Yadav</t>
  </si>
  <si>
    <t>Deepak Verma</t>
  </si>
  <si>
    <t>Neha Mehta</t>
  </si>
  <si>
    <t>Harsh Patel</t>
  </si>
  <si>
    <t>Sakshi Patel</t>
  </si>
  <si>
    <t>Shreya Singh</t>
  </si>
  <si>
    <t>Manish Yadav</t>
  </si>
  <si>
    <t>Vihaan Mehta</t>
  </si>
  <si>
    <t>Ananya Patel</t>
  </si>
  <si>
    <t>Ishaan Patel</t>
  </si>
  <si>
    <t>Rohan Mehta</t>
  </si>
  <si>
    <t>Pooja Yadav</t>
  </si>
  <si>
    <t>Sneha Verma</t>
  </si>
  <si>
    <t>Rahul Jain</t>
  </si>
  <si>
    <t>Tanya Verma</t>
  </si>
  <si>
    <t>Aman Patel</t>
  </si>
  <si>
    <t>Isha Joshi</t>
  </si>
  <si>
    <t>Ritu Mehta</t>
  </si>
  <si>
    <t>Yash Joshi</t>
  </si>
  <si>
    <t>Simran Jain</t>
  </si>
  <si>
    <t>Varun Gupta</t>
  </si>
  <si>
    <t>Neha Joshi</t>
  </si>
  <si>
    <t>Harsh Jain</t>
  </si>
  <si>
    <t>Manish Sharma</t>
  </si>
  <si>
    <t>Activities</t>
  </si>
  <si>
    <t>Month</t>
  </si>
  <si>
    <t>Jan</t>
  </si>
  <si>
    <t>Feb</t>
  </si>
  <si>
    <t>Mar</t>
  </si>
  <si>
    <t>Apr</t>
  </si>
  <si>
    <t>May</t>
  </si>
  <si>
    <t>Jun</t>
  </si>
  <si>
    <t>Aug</t>
  </si>
  <si>
    <t>Sep</t>
  </si>
  <si>
    <t>Grand Total</t>
  </si>
  <si>
    <t>Count of Activities</t>
  </si>
  <si>
    <t>Nov</t>
  </si>
  <si>
    <t>Dec</t>
  </si>
  <si>
    <t>Column Labels</t>
  </si>
  <si>
    <t>Teacher ID</t>
  </si>
  <si>
    <t>Class</t>
  </si>
  <si>
    <t>Display</t>
  </si>
  <si>
    <t>Ravi Gupta</t>
  </si>
  <si>
    <t>Jivani Patel</t>
  </si>
  <si>
    <t>All Students Performance Data</t>
  </si>
  <si>
    <t>" Examination Time Table 2025"</t>
  </si>
  <si>
    <r>
      <t>Top 3 Students of the School</t>
    </r>
    <r>
      <rPr>
        <sz val="12"/>
        <color theme="1"/>
        <rFont val="Calibri"/>
        <family val="2"/>
        <scheme val="minor"/>
      </rPr>
      <t xml:space="preserve"> 🏆</t>
    </r>
  </si>
  <si>
    <t>Jivani Patel  Class 6  87%</t>
  </si>
  <si>
    <t>Ravi Gupta  Class 7  85%</t>
  </si>
  <si>
    <t>Harsh Jain  Class 10  87%</t>
  </si>
  <si>
    <t xml:space="preserve">Topper Name </t>
  </si>
  <si>
    <t>🎯 Class-wise Toppers</t>
  </si>
  <si>
    <t>📅 Event Status Tracker</t>
  </si>
  <si>
    <t>Our Faculty</t>
  </si>
  <si>
    <t>🎓 Class 6 Students</t>
  </si>
  <si>
    <t>🎓 Class 6th  Students</t>
  </si>
  <si>
    <t>🎓 Class 7th Students</t>
  </si>
  <si>
    <t>🎓 Class 8th Students</t>
  </si>
  <si>
    <t>🎓 Class 9th Students</t>
  </si>
  <si>
    <t>🎓 Class 10th Students</t>
  </si>
  <si>
    <t>📊 Completed vs Pending Activities</t>
  </si>
  <si>
    <t>Months</t>
  </si>
  <si>
    <t xml:space="preserve">Yesh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</si>
</sst>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Calibri"/>
      <family val="2"/>
      <scheme val="minor"/>
    </font>
    <font>
      <b/>
      <sz val="14"/>
      <color theme="1"/>
      <name val="Calibri"/>
      <family val="2"/>
      <scheme val="minor"/>
    </font>
    <font>
      <b/>
      <sz val="18"/>
      <color theme="1"/>
      <name val="Calibri"/>
      <family val="2"/>
      <scheme val="minor"/>
    </font>
    <font>
      <b/>
      <sz val="18"/>
      <color theme="1" tint="4.9989318521683403E-2"/>
      <name val="Calibri"/>
      <family val="2"/>
      <scheme val="minor"/>
    </font>
    <font>
      <sz val="18"/>
      <color theme="1"/>
      <name val="Calibri"/>
      <family val="2"/>
      <scheme val="minor"/>
    </font>
    <font>
      <b/>
      <sz val="28"/>
      <color theme="1"/>
      <name val="Calibri"/>
      <family val="2"/>
      <scheme val="minor"/>
    </font>
    <font>
      <b/>
      <sz val="16"/>
      <color theme="1"/>
      <name val="Calibri"/>
      <family val="2"/>
      <scheme val="minor"/>
    </font>
    <font>
      <sz val="12"/>
      <color theme="1"/>
      <name val="Calibri"/>
      <family val="2"/>
      <scheme val="minor"/>
    </font>
    <font>
      <sz val="16"/>
      <color theme="1"/>
      <name val="Calibri"/>
      <family val="2"/>
      <scheme val="minor"/>
    </font>
    <font>
      <b/>
      <sz val="11"/>
      <color theme="1"/>
      <name val="Calibri"/>
      <family val="2"/>
      <scheme val="minor"/>
    </font>
    <font>
      <b/>
      <sz val="20"/>
      <color theme="1"/>
      <name val="Calibri"/>
      <family val="2"/>
      <scheme val="minor"/>
    </font>
    <font>
      <sz val="20"/>
      <color theme="1"/>
      <name val="Calibri"/>
      <family val="2"/>
      <scheme val="minor"/>
    </font>
    <font>
      <b/>
      <sz val="18"/>
      <color theme="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3"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51">
    <xf numFmtId="0" fontId="0" fillId="0" borderId="0" xfId="0"/>
    <xf numFmtId="10" fontId="0" fillId="0" borderId="0" xfId="1" applyNumberFormat="1" applyFont="1"/>
    <xf numFmtId="14" fontId="0" fillId="0" borderId="0" xfId="0" applyNumberFormat="1"/>
    <xf numFmtId="0" fontId="4" fillId="0" borderId="1" xfId="0" applyFont="1" applyBorder="1"/>
    <xf numFmtId="14" fontId="4" fillId="0" borderId="1" xfId="0" applyNumberFormat="1" applyFont="1" applyBorder="1"/>
    <xf numFmtId="0" fontId="5" fillId="0" borderId="1" xfId="0" applyFont="1" applyBorder="1"/>
    <xf numFmtId="14" fontId="5" fillId="0" borderId="1" xfId="0" applyNumberFormat="1" applyFont="1" applyBorder="1"/>
    <xf numFmtId="18" fontId="5" fillId="0" borderId="1" xfId="0" applyNumberFormat="1" applyFont="1" applyBorder="1"/>
    <xf numFmtId="0" fontId="2" fillId="0" borderId="2" xfId="0" applyFont="1" applyBorder="1" applyAlignment="1">
      <alignment horizontal="center"/>
    </xf>
    <xf numFmtId="0" fontId="2" fillId="0" borderId="3" xfId="0" applyFont="1"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0" fontId="0" fillId="0" borderId="0" xfId="0" applyNumberFormat="1"/>
    <xf numFmtId="0" fontId="2" fillId="0" borderId="11" xfId="0" applyFont="1"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164" fontId="2" fillId="0" borderId="1" xfId="0" applyNumberFormat="1" applyFont="1" applyBorder="1" applyAlignment="1">
      <alignment horizontal="center"/>
    </xf>
    <xf numFmtId="14" fontId="2" fillId="0" borderId="4" xfId="0" applyNumberFormat="1" applyFont="1" applyBorder="1" applyAlignment="1">
      <alignment horizontal="center"/>
    </xf>
    <xf numFmtId="14" fontId="0" fillId="0" borderId="6" xfId="0" applyNumberFormat="1" applyBorder="1" applyAlignment="1">
      <alignment horizontal="center"/>
    </xf>
    <xf numFmtId="14" fontId="0" fillId="0" borderId="9" xfId="0" applyNumberFormat="1" applyBorder="1" applyAlignment="1">
      <alignment horizontal="center"/>
    </xf>
    <xf numFmtId="0" fontId="0" fillId="0" borderId="1" xfId="0" quotePrefix="1" applyBorder="1" applyAlignment="1">
      <alignment horizontal="center"/>
    </xf>
    <xf numFmtId="10" fontId="0" fillId="0" borderId="1" xfId="0" applyNumberFormat="1" applyBorder="1" applyAlignment="1">
      <alignment horizontal="center"/>
    </xf>
    <xf numFmtId="0" fontId="0" fillId="0" borderId="0" xfId="0" applyAlignment="1">
      <alignment wrapText="1"/>
    </xf>
    <xf numFmtId="0" fontId="0" fillId="3" borderId="0" xfId="0" applyFill="1"/>
    <xf numFmtId="0" fontId="0" fillId="4" borderId="0" xfId="0" applyFill="1"/>
    <xf numFmtId="0" fontId="0" fillId="0" borderId="0" xfId="0" applyAlignment="1">
      <alignment horizontal="center"/>
    </xf>
    <xf numFmtId="10" fontId="0" fillId="0" borderId="0" xfId="0" applyNumberFormat="1" applyAlignment="1">
      <alignment horizontal="center"/>
    </xf>
    <xf numFmtId="0" fontId="9" fillId="0" borderId="1" xfId="0" pivotButton="1" applyFont="1" applyBorder="1" applyAlignment="1">
      <alignment horizontal="center"/>
    </xf>
    <xf numFmtId="0" fontId="9" fillId="0" borderId="1" xfId="0" applyFont="1" applyBorder="1" applyAlignment="1">
      <alignment horizontal="center"/>
    </xf>
    <xf numFmtId="0" fontId="10" fillId="5" borderId="1" xfId="0" applyFont="1" applyFill="1" applyBorder="1" applyAlignment="1">
      <alignment horizontal="center"/>
    </xf>
    <xf numFmtId="0" fontId="12" fillId="0" borderId="0" xfId="0" applyFont="1" applyAlignment="1">
      <alignment vertical="center"/>
    </xf>
    <xf numFmtId="0" fontId="2" fillId="0" borderId="1" xfId="0" applyFont="1" applyBorder="1" applyAlignment="1">
      <alignment horizontal="center"/>
    </xf>
    <xf numFmtId="0" fontId="2" fillId="0" borderId="1" xfId="0" applyFont="1" applyBorder="1" applyAlignment="1">
      <alignment horizontal="center" wrapText="1"/>
    </xf>
    <xf numFmtId="0" fontId="0" fillId="0" borderId="1" xfId="0" applyBorder="1" applyAlignment="1">
      <alignment horizontal="center" wrapText="1"/>
    </xf>
    <xf numFmtId="0" fontId="0" fillId="0" borderId="14" xfId="0" applyBorder="1" applyAlignment="1">
      <alignment horizontal="center"/>
    </xf>
    <xf numFmtId="0" fontId="3" fillId="4" borderId="1" xfId="0" applyFont="1" applyFill="1" applyBorder="1" applyAlignment="1">
      <alignment horizontal="center"/>
    </xf>
    <xf numFmtId="0" fontId="6" fillId="4" borderId="13" xfId="0" applyFont="1" applyFill="1" applyBorder="1" applyAlignment="1">
      <alignment horizontal="center" vertical="center"/>
    </xf>
    <xf numFmtId="0" fontId="6" fillId="4" borderId="0" xfId="0" applyFont="1" applyFill="1" applyAlignment="1">
      <alignment horizontal="center" vertical="center"/>
    </xf>
    <xf numFmtId="0" fontId="11" fillId="4" borderId="6"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5" xfId="0" applyFont="1" applyFill="1" applyBorder="1" applyAlignment="1">
      <alignment horizontal="center" vertical="center"/>
    </xf>
    <xf numFmtId="0" fontId="3" fillId="6" borderId="1" xfId="0" applyFont="1" applyFill="1" applyBorder="1" applyAlignment="1">
      <alignment horizontal="center"/>
    </xf>
    <xf numFmtId="0" fontId="13" fillId="2" borderId="0" xfId="0" applyFont="1" applyFill="1" applyAlignment="1">
      <alignment horizontal="center"/>
    </xf>
    <xf numFmtId="0" fontId="7" fillId="5" borderId="6" xfId="0" applyFont="1" applyFill="1" applyBorder="1" applyAlignment="1">
      <alignment horizontal="center"/>
    </xf>
    <xf numFmtId="0" fontId="7" fillId="5" borderId="12" xfId="0" applyFont="1" applyFill="1" applyBorder="1" applyAlignment="1">
      <alignment horizontal="center"/>
    </xf>
    <xf numFmtId="0" fontId="7" fillId="5" borderId="5" xfId="0" applyFont="1" applyFill="1" applyBorder="1" applyAlignment="1">
      <alignment horizontal="center"/>
    </xf>
    <xf numFmtId="0" fontId="3" fillId="2" borderId="1" xfId="0" applyFont="1" applyFill="1" applyBorder="1" applyAlignment="1">
      <alignment horizontal="center"/>
    </xf>
    <xf numFmtId="0" fontId="9" fillId="0" borderId="1" xfId="0" applyNumberFormat="1" applyFont="1" applyBorder="1" applyAlignment="1">
      <alignment horizontal="center"/>
    </xf>
  </cellXfs>
  <cellStyles count="2">
    <cellStyle name="Normal" xfId="0" builtinId="0"/>
    <cellStyle name="Percent" xfId="1" builtinId="5"/>
  </cellStyles>
  <dxfs count="16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ill>
        <patternFill>
          <fgColor theme="6" tint="-0.24994659260841701"/>
          <bgColor theme="6" tint="0.39994506668294322"/>
        </patternFill>
      </fill>
    </dxf>
    <dxf>
      <font>
        <color rgb="FF9C0006"/>
      </font>
      <fill>
        <patternFill>
          <bgColor rgb="FFFFC7CE"/>
        </patternFill>
      </fill>
    </dxf>
    <dxf>
      <fill>
        <patternFill>
          <fgColor theme="6" tint="-0.24994659260841701"/>
          <bgColor theme="6" tint="0.39994506668294322"/>
        </patternFill>
      </fill>
    </dxf>
    <dxf>
      <font>
        <color rgb="FF9C0006"/>
      </font>
      <fill>
        <patternFill>
          <bgColor rgb="FFFFC7CE"/>
        </patternFill>
      </fill>
    </dxf>
    <dxf>
      <font>
        <strike val="0"/>
        <outline val="0"/>
        <shadow val="0"/>
        <u val="none"/>
        <vertAlign val="baseline"/>
        <sz val="18"/>
        <name val="Calibri"/>
        <family val="2"/>
        <scheme val="minor"/>
      </font>
      <numFmt numFmtId="23" formatCode="h:mm\ AM/PM"/>
      <border diagonalUp="0" diagonalDown="0" outline="0">
        <left style="thin">
          <color indexed="64"/>
        </left>
        <right/>
        <top style="thin">
          <color indexed="64"/>
        </top>
        <bottom style="thin">
          <color indexed="64"/>
        </bottom>
      </border>
    </dxf>
    <dxf>
      <font>
        <strike val="0"/>
        <outline val="0"/>
        <shadow val="0"/>
        <u val="none"/>
        <vertAlign val="baseline"/>
        <sz val="18"/>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Calibri"/>
        <family val="2"/>
        <scheme val="minor"/>
      </font>
      <numFmt numFmtId="19" formatCode="dd/mm/yyyy"/>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8"/>
        <name val="Calibri"/>
        <family val="2"/>
        <scheme val="minor"/>
      </font>
      <border diagonalUp="0" diagonalDown="0" outline="0">
        <left/>
        <right style="thin">
          <color indexed="64"/>
        </right>
        <top style="thin">
          <color indexed="64"/>
        </top>
        <bottom style="thin">
          <color indexed="64"/>
        </bottom>
      </border>
    </dxf>
    <dxf>
      <font>
        <strike val="0"/>
        <outline val="0"/>
        <shadow val="0"/>
        <u val="none"/>
        <vertAlign val="baseline"/>
        <sz val="18"/>
        <name val="Calibri"/>
        <family val="2"/>
        <scheme val="minor"/>
      </font>
    </dxf>
    <dxf>
      <font>
        <b/>
        <i val="0"/>
        <strike val="0"/>
        <condense val="0"/>
        <extend val="0"/>
        <outline val="0"/>
        <shadow val="0"/>
        <u val="none"/>
        <vertAlign val="baseline"/>
        <sz val="18"/>
        <color theme="1" tint="4.9989318521683403E-2"/>
        <name val="Calibri"/>
        <family val="2"/>
        <scheme val="minor"/>
      </font>
      <border diagonalUp="0" diagonalDown="0" outline="0">
        <left style="thin">
          <color indexed="64"/>
        </left>
        <right style="thin">
          <color indexed="64"/>
        </right>
        <top/>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colors>
    <mruColors>
      <color rgb="FFCC66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[School_Management_System_project.xlsx]Pivot Table!PivotTable7</c:name>
    <c:fmtId val="3"/>
  </c:pivotSource>
  <c:chart>
    <c:title>
      <c:tx>
        <c:rich>
          <a:bodyPr rot="0" spcFirstLastPara="1" vertOverflow="ellipsis" vert="horz" wrap="square" anchor="ctr" anchorCtr="1"/>
          <a:lstStyle/>
          <a:p>
            <a:pPr>
              <a:defRPr sz="1800" b="1" i="0" u="dbl" strike="noStrike" kern="1200" spc="0" baseline="0">
                <a:solidFill>
                  <a:schemeClr val="tx1">
                    <a:lumMod val="65000"/>
                    <a:lumOff val="35000"/>
                  </a:schemeClr>
                </a:solidFill>
                <a:latin typeface="+mn-lt"/>
                <a:ea typeface="+mn-ea"/>
                <a:cs typeface="+mn-cs"/>
              </a:defRPr>
            </a:pPr>
            <a:r>
              <a:rPr lang="en-IN" sz="1800" b="1" i="0" u="dbl" strike="noStrike" baseline="0"/>
              <a:t>"Monthly School Activities"</a:t>
            </a:r>
            <a:endParaRPr lang="en-US" sz="1800" b="1" u="dbl"/>
          </a:p>
        </c:rich>
      </c:tx>
      <c:layout>
        <c:manualLayout>
          <c:xMode val="edge"/>
          <c:yMode val="edge"/>
          <c:x val="0.25890225260304001"/>
          <c:y val="4.5275590551181105E-2"/>
        </c:manualLayout>
      </c:layout>
      <c:overlay val="0"/>
      <c:spPr>
        <a:noFill/>
        <a:ln>
          <a:noFill/>
        </a:ln>
        <a:effectLst/>
      </c:spPr>
      <c:txPr>
        <a:bodyPr rot="0" spcFirstLastPara="1" vertOverflow="ellipsis" vert="horz" wrap="square" anchor="ctr" anchorCtr="1"/>
        <a:lstStyle/>
        <a:p>
          <a:pPr>
            <a:defRPr sz="1800" b="1" i="0" u="dbl"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41671302076253E-2"/>
          <c:y val="0.16600503062117236"/>
          <c:w val="0.9166775856314664"/>
          <c:h val="0.62644320501603956"/>
        </c:manualLayout>
      </c:layout>
      <c:barChart>
        <c:barDir val="col"/>
        <c:grouping val="clustered"/>
        <c:varyColors val="0"/>
        <c:ser>
          <c:idx val="0"/>
          <c:order val="0"/>
          <c:tx>
            <c:strRef>
              <c:f>'Pivot Table'!$B$3:$B$4</c:f>
              <c:strCache>
                <c:ptCount val="1"/>
                <c:pt idx="0">
                  <c:v>Completed</c:v>
                </c:pt>
              </c:strCache>
            </c:strRef>
          </c:tx>
          <c:spPr>
            <a:solidFill>
              <a:schemeClr val="accent1"/>
            </a:solidFill>
            <a:ln>
              <a:noFill/>
            </a:ln>
            <a:effectLst/>
          </c:spPr>
          <c:invertIfNegative val="0"/>
          <c:cat>
            <c:strRef>
              <c:f>'Pivot Table'!$A$5:$A$15</c:f>
              <c:strCache>
                <c:ptCount val="10"/>
                <c:pt idx="0">
                  <c:v>Jan</c:v>
                </c:pt>
                <c:pt idx="1">
                  <c:v>Feb</c:v>
                </c:pt>
                <c:pt idx="2">
                  <c:v>Mar</c:v>
                </c:pt>
                <c:pt idx="3">
                  <c:v>Apr</c:v>
                </c:pt>
                <c:pt idx="4">
                  <c:v>May</c:v>
                </c:pt>
                <c:pt idx="5">
                  <c:v>Jun</c:v>
                </c:pt>
                <c:pt idx="6">
                  <c:v>Aug</c:v>
                </c:pt>
                <c:pt idx="7">
                  <c:v>Sep</c:v>
                </c:pt>
                <c:pt idx="8">
                  <c:v>Nov</c:v>
                </c:pt>
                <c:pt idx="9">
                  <c:v>Dec</c:v>
                </c:pt>
              </c:strCache>
            </c:strRef>
          </c:cat>
          <c:val>
            <c:numRef>
              <c:f>'Pivot Table'!$B$5:$B$15</c:f>
              <c:numCache>
                <c:formatCode>General</c:formatCode>
                <c:ptCount val="10"/>
                <c:pt idx="0">
                  <c:v>2</c:v>
                </c:pt>
                <c:pt idx="1">
                  <c:v>1</c:v>
                </c:pt>
                <c:pt idx="2">
                  <c:v>3</c:v>
                </c:pt>
                <c:pt idx="3">
                  <c:v>2</c:v>
                </c:pt>
                <c:pt idx="4">
                  <c:v>1</c:v>
                </c:pt>
                <c:pt idx="5">
                  <c:v>3</c:v>
                </c:pt>
              </c:numCache>
            </c:numRef>
          </c:val>
          <c:extLst>
            <c:ext xmlns:c16="http://schemas.microsoft.com/office/drawing/2014/chart" uri="{C3380CC4-5D6E-409C-BE32-E72D297353CC}">
              <c16:uniqueId val="{00000000-7B0A-4BE8-BA17-76149B342849}"/>
            </c:ext>
          </c:extLst>
        </c:ser>
        <c:ser>
          <c:idx val="1"/>
          <c:order val="1"/>
          <c:tx>
            <c:strRef>
              <c:f>'Pivot Table'!$C$3:$C$4</c:f>
              <c:strCache>
                <c:ptCount val="1"/>
                <c:pt idx="0">
                  <c:v>Pending</c:v>
                </c:pt>
              </c:strCache>
            </c:strRef>
          </c:tx>
          <c:spPr>
            <a:solidFill>
              <a:schemeClr val="accent2"/>
            </a:solidFill>
            <a:ln>
              <a:noFill/>
            </a:ln>
            <a:effectLst/>
          </c:spPr>
          <c:invertIfNegative val="0"/>
          <c:cat>
            <c:strRef>
              <c:f>'Pivot Table'!$A$5:$A$15</c:f>
              <c:strCache>
                <c:ptCount val="10"/>
                <c:pt idx="0">
                  <c:v>Jan</c:v>
                </c:pt>
                <c:pt idx="1">
                  <c:v>Feb</c:v>
                </c:pt>
                <c:pt idx="2">
                  <c:v>Mar</c:v>
                </c:pt>
                <c:pt idx="3">
                  <c:v>Apr</c:v>
                </c:pt>
                <c:pt idx="4">
                  <c:v>May</c:v>
                </c:pt>
                <c:pt idx="5">
                  <c:v>Jun</c:v>
                </c:pt>
                <c:pt idx="6">
                  <c:v>Aug</c:v>
                </c:pt>
                <c:pt idx="7">
                  <c:v>Sep</c:v>
                </c:pt>
                <c:pt idx="8">
                  <c:v>Nov</c:v>
                </c:pt>
                <c:pt idx="9">
                  <c:v>Dec</c:v>
                </c:pt>
              </c:strCache>
            </c:strRef>
          </c:cat>
          <c:val>
            <c:numRef>
              <c:f>'Pivot Table'!$C$5:$C$15</c:f>
              <c:numCache>
                <c:formatCode>General</c:formatCode>
                <c:ptCount val="10"/>
                <c:pt idx="6">
                  <c:v>4</c:v>
                </c:pt>
                <c:pt idx="7">
                  <c:v>2</c:v>
                </c:pt>
                <c:pt idx="8">
                  <c:v>1</c:v>
                </c:pt>
                <c:pt idx="9">
                  <c:v>1</c:v>
                </c:pt>
              </c:numCache>
            </c:numRef>
          </c:val>
          <c:extLst>
            <c:ext xmlns:c16="http://schemas.microsoft.com/office/drawing/2014/chart" uri="{C3380CC4-5D6E-409C-BE32-E72D297353CC}">
              <c16:uniqueId val="{00000001-C8B8-4247-BEA0-DCFD457F75B3}"/>
            </c:ext>
          </c:extLst>
        </c:ser>
        <c:dLbls>
          <c:showLegendKey val="0"/>
          <c:showVal val="0"/>
          <c:showCatName val="0"/>
          <c:showSerName val="0"/>
          <c:showPercent val="0"/>
          <c:showBubbleSize val="0"/>
        </c:dLbls>
        <c:gapWidth val="219"/>
        <c:overlap val="-27"/>
        <c:axId val="1255984208"/>
        <c:axId val="1554204896"/>
      </c:barChart>
      <c:catAx>
        <c:axId val="125598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lumMod val="50000"/>
                  </a:schemeClr>
                </a:solidFill>
                <a:latin typeface="+mn-lt"/>
                <a:ea typeface="+mn-ea"/>
                <a:cs typeface="+mn-cs"/>
              </a:defRPr>
            </a:pPr>
            <a:endParaRPr lang="en-US"/>
          </a:p>
        </c:txPr>
        <c:crossAx val="1554204896"/>
        <c:crosses val="autoZero"/>
        <c:auto val="1"/>
        <c:lblAlgn val="ctr"/>
        <c:lblOffset val="100"/>
        <c:noMultiLvlLbl val="0"/>
      </c:catAx>
      <c:valAx>
        <c:axId val="155420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lumMod val="50000"/>
                  </a:schemeClr>
                </a:solidFill>
                <a:latin typeface="+mn-lt"/>
                <a:ea typeface="+mn-ea"/>
                <a:cs typeface="+mn-cs"/>
              </a:defRPr>
            </a:pPr>
            <a:endParaRPr lang="en-US"/>
          </a:p>
        </c:txPr>
        <c:crossAx val="125598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[School_Management_System_project.xlsx]Pivot Table!PivotTable7</c:name>
    <c:fmtId val="4"/>
  </c:pivotSource>
  <c:chart>
    <c:title>
      <c:tx>
        <c:rich>
          <a:bodyPr rot="0" spcFirstLastPara="1" vertOverflow="ellipsis" vert="horz" wrap="square" anchor="ctr" anchorCtr="1"/>
          <a:lstStyle/>
          <a:p>
            <a:pPr>
              <a:defRPr sz="1800" b="1" i="0" u="dbl" strike="noStrike" kern="1200" spc="0" baseline="0">
                <a:solidFill>
                  <a:schemeClr val="tx1">
                    <a:lumMod val="65000"/>
                    <a:lumOff val="35000"/>
                  </a:schemeClr>
                </a:solidFill>
                <a:latin typeface="+mn-lt"/>
                <a:ea typeface="+mn-ea"/>
                <a:cs typeface="+mn-cs"/>
              </a:defRPr>
            </a:pPr>
            <a:r>
              <a:rPr lang="en-IN" sz="1800" b="1" i="0" u="dbl" strike="noStrike" baseline="0"/>
              <a:t>"Monthly School Activities"</a:t>
            </a:r>
            <a:endParaRPr lang="en-US" sz="1800" b="1" u="dbl"/>
          </a:p>
        </c:rich>
      </c:tx>
      <c:layout>
        <c:manualLayout>
          <c:xMode val="edge"/>
          <c:yMode val="edge"/>
          <c:x val="0.25890225260304001"/>
          <c:y val="4.5275590551181105E-2"/>
        </c:manualLayout>
      </c:layout>
      <c:overlay val="0"/>
      <c:spPr>
        <a:noFill/>
        <a:ln>
          <a:noFill/>
        </a:ln>
        <a:effectLst/>
      </c:spPr>
      <c:txPr>
        <a:bodyPr rot="0" spcFirstLastPara="1" vertOverflow="ellipsis" vert="horz" wrap="square" anchor="ctr" anchorCtr="1"/>
        <a:lstStyle/>
        <a:p>
          <a:pPr>
            <a:defRPr sz="1800" b="1" i="0" u="dbl"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541671302076253E-2"/>
          <c:y val="0.16600503062117236"/>
          <c:w val="0.9166775856314664"/>
          <c:h val="0.62644320501603956"/>
        </c:manualLayout>
      </c:layout>
      <c:barChart>
        <c:barDir val="col"/>
        <c:grouping val="clustered"/>
        <c:varyColors val="0"/>
        <c:ser>
          <c:idx val="0"/>
          <c:order val="0"/>
          <c:tx>
            <c:strRef>
              <c:f>'Pivot Table'!$B$3:$B$4</c:f>
              <c:strCache>
                <c:ptCount val="1"/>
                <c:pt idx="0">
                  <c:v>Completed</c:v>
                </c:pt>
              </c:strCache>
            </c:strRef>
          </c:tx>
          <c:spPr>
            <a:solidFill>
              <a:schemeClr val="accent1"/>
            </a:solidFill>
            <a:ln>
              <a:noFill/>
            </a:ln>
            <a:effectLst/>
          </c:spPr>
          <c:invertIfNegative val="0"/>
          <c:cat>
            <c:strRef>
              <c:f>'Pivot Table'!$A$5:$A$15</c:f>
              <c:strCache>
                <c:ptCount val="10"/>
                <c:pt idx="0">
                  <c:v>Jan</c:v>
                </c:pt>
                <c:pt idx="1">
                  <c:v>Feb</c:v>
                </c:pt>
                <c:pt idx="2">
                  <c:v>Mar</c:v>
                </c:pt>
                <c:pt idx="3">
                  <c:v>Apr</c:v>
                </c:pt>
                <c:pt idx="4">
                  <c:v>May</c:v>
                </c:pt>
                <c:pt idx="5">
                  <c:v>Jun</c:v>
                </c:pt>
                <c:pt idx="6">
                  <c:v>Aug</c:v>
                </c:pt>
                <c:pt idx="7">
                  <c:v>Sep</c:v>
                </c:pt>
                <c:pt idx="8">
                  <c:v>Nov</c:v>
                </c:pt>
                <c:pt idx="9">
                  <c:v>Dec</c:v>
                </c:pt>
              </c:strCache>
            </c:strRef>
          </c:cat>
          <c:val>
            <c:numRef>
              <c:f>'Pivot Table'!$B$5:$B$15</c:f>
              <c:numCache>
                <c:formatCode>General</c:formatCode>
                <c:ptCount val="10"/>
                <c:pt idx="0">
                  <c:v>2</c:v>
                </c:pt>
                <c:pt idx="1">
                  <c:v>1</c:v>
                </c:pt>
                <c:pt idx="2">
                  <c:v>3</c:v>
                </c:pt>
                <c:pt idx="3">
                  <c:v>2</c:v>
                </c:pt>
                <c:pt idx="4">
                  <c:v>1</c:v>
                </c:pt>
                <c:pt idx="5">
                  <c:v>3</c:v>
                </c:pt>
              </c:numCache>
            </c:numRef>
          </c:val>
          <c:extLst>
            <c:ext xmlns:c16="http://schemas.microsoft.com/office/drawing/2014/chart" uri="{C3380CC4-5D6E-409C-BE32-E72D297353CC}">
              <c16:uniqueId val="{00000000-C1E3-4A23-978A-5D464D169A57}"/>
            </c:ext>
          </c:extLst>
        </c:ser>
        <c:ser>
          <c:idx val="1"/>
          <c:order val="1"/>
          <c:tx>
            <c:strRef>
              <c:f>'Pivot Table'!$C$3:$C$4</c:f>
              <c:strCache>
                <c:ptCount val="1"/>
                <c:pt idx="0">
                  <c:v>Pending</c:v>
                </c:pt>
              </c:strCache>
            </c:strRef>
          </c:tx>
          <c:spPr>
            <a:solidFill>
              <a:schemeClr val="accent2"/>
            </a:solidFill>
            <a:ln>
              <a:noFill/>
            </a:ln>
            <a:effectLst/>
          </c:spPr>
          <c:invertIfNegative val="0"/>
          <c:cat>
            <c:strRef>
              <c:f>'Pivot Table'!$A$5:$A$15</c:f>
              <c:strCache>
                <c:ptCount val="10"/>
                <c:pt idx="0">
                  <c:v>Jan</c:v>
                </c:pt>
                <c:pt idx="1">
                  <c:v>Feb</c:v>
                </c:pt>
                <c:pt idx="2">
                  <c:v>Mar</c:v>
                </c:pt>
                <c:pt idx="3">
                  <c:v>Apr</c:v>
                </c:pt>
                <c:pt idx="4">
                  <c:v>May</c:v>
                </c:pt>
                <c:pt idx="5">
                  <c:v>Jun</c:v>
                </c:pt>
                <c:pt idx="6">
                  <c:v>Aug</c:v>
                </c:pt>
                <c:pt idx="7">
                  <c:v>Sep</c:v>
                </c:pt>
                <c:pt idx="8">
                  <c:v>Nov</c:v>
                </c:pt>
                <c:pt idx="9">
                  <c:v>Dec</c:v>
                </c:pt>
              </c:strCache>
            </c:strRef>
          </c:cat>
          <c:val>
            <c:numRef>
              <c:f>'Pivot Table'!$C$5:$C$15</c:f>
              <c:numCache>
                <c:formatCode>General</c:formatCode>
                <c:ptCount val="10"/>
                <c:pt idx="6">
                  <c:v>4</c:v>
                </c:pt>
                <c:pt idx="7">
                  <c:v>2</c:v>
                </c:pt>
                <c:pt idx="8">
                  <c:v>1</c:v>
                </c:pt>
                <c:pt idx="9">
                  <c:v>1</c:v>
                </c:pt>
              </c:numCache>
            </c:numRef>
          </c:val>
          <c:extLst>
            <c:ext xmlns:c16="http://schemas.microsoft.com/office/drawing/2014/chart" uri="{C3380CC4-5D6E-409C-BE32-E72D297353CC}">
              <c16:uniqueId val="{00000000-0914-461B-B3E3-07ECF418E05C}"/>
            </c:ext>
          </c:extLst>
        </c:ser>
        <c:dLbls>
          <c:showLegendKey val="0"/>
          <c:showVal val="0"/>
          <c:showCatName val="0"/>
          <c:showSerName val="0"/>
          <c:showPercent val="0"/>
          <c:showBubbleSize val="0"/>
        </c:dLbls>
        <c:gapWidth val="219"/>
        <c:overlap val="-27"/>
        <c:axId val="1255984208"/>
        <c:axId val="1554204896"/>
      </c:barChart>
      <c:catAx>
        <c:axId val="125598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lumMod val="50000"/>
                  </a:schemeClr>
                </a:solidFill>
                <a:latin typeface="+mn-lt"/>
                <a:ea typeface="+mn-ea"/>
                <a:cs typeface="+mn-cs"/>
              </a:defRPr>
            </a:pPr>
            <a:endParaRPr lang="en-US"/>
          </a:p>
        </c:txPr>
        <c:crossAx val="1554204896"/>
        <c:crosses val="autoZero"/>
        <c:auto val="1"/>
        <c:lblAlgn val="ctr"/>
        <c:lblOffset val="100"/>
        <c:noMultiLvlLbl val="0"/>
      </c:catAx>
      <c:valAx>
        <c:axId val="155420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lumMod val="50000"/>
                  </a:schemeClr>
                </a:solidFill>
                <a:latin typeface="+mn-lt"/>
                <a:ea typeface="+mn-ea"/>
                <a:cs typeface="+mn-cs"/>
              </a:defRPr>
            </a:pPr>
            <a:endParaRPr lang="en-US"/>
          </a:p>
        </c:txPr>
        <c:crossAx val="125598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eachers!A1"/><Relationship Id="rId13" Type="http://schemas.openxmlformats.org/officeDocument/2006/relationships/image" Target="../media/image8.svg"/><Relationship Id="rId18" Type="http://schemas.openxmlformats.org/officeDocument/2006/relationships/image" Target="../media/image9.jpeg"/><Relationship Id="rId3" Type="http://schemas.openxmlformats.org/officeDocument/2006/relationships/image" Target="../media/image3.png"/><Relationship Id="rId21" Type="http://schemas.openxmlformats.org/officeDocument/2006/relationships/chart" Target="../charts/chart1.xml"/><Relationship Id="rId7" Type="http://schemas.openxmlformats.org/officeDocument/2006/relationships/hyperlink" Target="#'Class 6'!A1"/><Relationship Id="rId12" Type="http://schemas.openxmlformats.org/officeDocument/2006/relationships/image" Target="../media/image7.png"/><Relationship Id="rId17" Type="http://schemas.openxmlformats.org/officeDocument/2006/relationships/hyperlink" Target="#'Class 10'!A1"/><Relationship Id="rId2" Type="http://schemas.openxmlformats.org/officeDocument/2006/relationships/image" Target="../media/image2.svg"/><Relationship Id="rId16" Type="http://schemas.openxmlformats.org/officeDocument/2006/relationships/hyperlink" Target="#'Class 7'!A1"/><Relationship Id="rId20" Type="http://schemas.openxmlformats.org/officeDocument/2006/relationships/image" Target="../media/image11.jpeg"/><Relationship Id="rId1" Type="http://schemas.openxmlformats.org/officeDocument/2006/relationships/image" Target="../media/image1.png"/><Relationship Id="rId6" Type="http://schemas.openxmlformats.org/officeDocument/2006/relationships/hyperlink" Target="#Events!A1"/><Relationship Id="rId11" Type="http://schemas.openxmlformats.org/officeDocument/2006/relationships/image" Target="../media/image6.svg"/><Relationship Id="rId5" Type="http://schemas.openxmlformats.org/officeDocument/2006/relationships/hyperlink" Target="#'Exam timetable'!A1"/><Relationship Id="rId15" Type="http://schemas.openxmlformats.org/officeDocument/2006/relationships/hyperlink" Target="#'Class 9'!A1"/><Relationship Id="rId10" Type="http://schemas.openxmlformats.org/officeDocument/2006/relationships/image" Target="../media/image5.png"/><Relationship Id="rId19" Type="http://schemas.openxmlformats.org/officeDocument/2006/relationships/image" Target="../media/image10.jpeg"/><Relationship Id="rId4" Type="http://schemas.openxmlformats.org/officeDocument/2006/relationships/image" Target="../media/image4.svg"/><Relationship Id="rId9" Type="http://schemas.openxmlformats.org/officeDocument/2006/relationships/hyperlink" Target="#Dashboard!A1"/><Relationship Id="rId14" Type="http://schemas.openxmlformats.org/officeDocument/2006/relationships/hyperlink" Target="#'Class 8'!A1"/></Relationships>
</file>

<file path=xl/drawings/_rels/drawing2.xml.rels><?xml version="1.0" encoding="UTF-8" standalone="yes"?>
<Relationships xmlns="http://schemas.openxmlformats.org/package/2006/relationships"><Relationship Id="rId8" Type="http://schemas.openxmlformats.org/officeDocument/2006/relationships/image" Target="../media/image18.jpeg"/><Relationship Id="rId13" Type="http://schemas.openxmlformats.org/officeDocument/2006/relationships/image" Target="../media/image23.jpeg"/><Relationship Id="rId3" Type="http://schemas.openxmlformats.org/officeDocument/2006/relationships/image" Target="../media/image13.jpeg"/><Relationship Id="rId7" Type="http://schemas.openxmlformats.org/officeDocument/2006/relationships/image" Target="../media/image17.jpeg"/><Relationship Id="rId12" Type="http://schemas.openxmlformats.org/officeDocument/2006/relationships/image" Target="../media/image22.jpeg"/><Relationship Id="rId2" Type="http://schemas.openxmlformats.org/officeDocument/2006/relationships/image" Target="../media/image12.jpeg"/><Relationship Id="rId1" Type="http://schemas.openxmlformats.org/officeDocument/2006/relationships/hyperlink" Target="#Dashboard!A1"/><Relationship Id="rId6" Type="http://schemas.openxmlformats.org/officeDocument/2006/relationships/image" Target="../media/image16.jpeg"/><Relationship Id="rId11" Type="http://schemas.openxmlformats.org/officeDocument/2006/relationships/image" Target="../media/image21.jpeg"/><Relationship Id="rId5" Type="http://schemas.openxmlformats.org/officeDocument/2006/relationships/image" Target="../media/image15.jpeg"/><Relationship Id="rId10" Type="http://schemas.openxmlformats.org/officeDocument/2006/relationships/image" Target="../media/image20.jpeg"/><Relationship Id="rId4" Type="http://schemas.openxmlformats.org/officeDocument/2006/relationships/image" Target="../media/image14.jpeg"/><Relationship Id="rId9" Type="http://schemas.openxmlformats.org/officeDocument/2006/relationships/image" Target="../media/image19.jpe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125506</xdr:colOff>
      <xdr:row>24</xdr:row>
      <xdr:rowOff>35859</xdr:rowOff>
    </xdr:from>
    <xdr:to>
      <xdr:col>12</xdr:col>
      <xdr:colOff>484094</xdr:colOff>
      <xdr:row>35</xdr:row>
      <xdr:rowOff>35859</xdr:rowOff>
    </xdr:to>
    <xdr:sp macro="" textlink="">
      <xdr:nvSpPr>
        <xdr:cNvPr id="49" name="Rectangle 48">
          <a:extLst>
            <a:ext uri="{FF2B5EF4-FFF2-40B4-BE49-F238E27FC236}">
              <a16:creationId xmlns:a16="http://schemas.microsoft.com/office/drawing/2014/main" id="{89FD5F50-F6B0-BB1F-417B-375D71530BEC}"/>
            </a:ext>
          </a:extLst>
        </xdr:cNvPr>
        <xdr:cNvSpPr/>
      </xdr:nvSpPr>
      <xdr:spPr>
        <a:xfrm>
          <a:off x="1927412" y="4545106"/>
          <a:ext cx="5844988" cy="197223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600635</xdr:colOff>
      <xdr:row>2</xdr:row>
      <xdr:rowOff>132231</xdr:rowOff>
    </xdr:from>
    <xdr:to>
      <xdr:col>9</xdr:col>
      <xdr:colOff>0</xdr:colOff>
      <xdr:row>7</xdr:row>
      <xdr:rowOff>125506</xdr:rowOff>
    </xdr:to>
    <xdr:grpSp>
      <xdr:nvGrpSpPr>
        <xdr:cNvPr id="11" name="Group 10">
          <a:extLst>
            <a:ext uri="{FF2B5EF4-FFF2-40B4-BE49-F238E27FC236}">
              <a16:creationId xmlns:a16="http://schemas.microsoft.com/office/drawing/2014/main" id="{A8443E53-9EDA-A86F-1AF3-ECE907602C84}"/>
            </a:ext>
          </a:extLst>
        </xdr:cNvPr>
        <xdr:cNvGrpSpPr/>
      </xdr:nvGrpSpPr>
      <xdr:grpSpPr>
        <a:xfrm>
          <a:off x="2402541" y="697007"/>
          <a:ext cx="3056965" cy="889746"/>
          <a:chOff x="1623787" y="281940"/>
          <a:chExt cx="1554480" cy="583493"/>
        </a:xfrm>
        <a:solidFill>
          <a:schemeClr val="bg1">
            <a:lumMod val="95000"/>
          </a:schemeClr>
        </a:solidFill>
      </xdr:grpSpPr>
      <xdr:sp macro="" textlink="">
        <xdr:nvSpPr>
          <xdr:cNvPr id="2" name="Rectangle 1">
            <a:extLst>
              <a:ext uri="{FF2B5EF4-FFF2-40B4-BE49-F238E27FC236}">
                <a16:creationId xmlns:a16="http://schemas.microsoft.com/office/drawing/2014/main" id="{96F581A6-3D6F-30F9-1CF0-8DA04BABFBDD}"/>
              </a:ext>
            </a:extLst>
          </xdr:cNvPr>
          <xdr:cNvSpPr/>
        </xdr:nvSpPr>
        <xdr:spPr>
          <a:xfrm>
            <a:off x="1623787" y="324413"/>
            <a:ext cx="1554480" cy="541020"/>
          </a:xfrm>
          <a:prstGeom prst="rect">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800" b="1">
                <a:solidFill>
                  <a:srgbClr val="FF0000"/>
                </a:solidFill>
              </a:rPr>
              <a:t>             School</a:t>
            </a:r>
            <a:r>
              <a:rPr lang="en-IN" sz="1600" b="1">
                <a:solidFill>
                  <a:srgbClr val="FF0000"/>
                </a:solidFill>
              </a:rPr>
              <a:t> </a:t>
            </a:r>
            <a:r>
              <a:rPr lang="en-IN" sz="2800" b="1">
                <a:solidFill>
                  <a:srgbClr val="FF0000"/>
                </a:solidFill>
              </a:rPr>
              <a:t>= </a:t>
            </a:r>
            <a:endParaRPr lang="en-IN" sz="1600" b="1">
              <a:solidFill>
                <a:srgbClr val="FF0000"/>
              </a:solidFill>
            </a:endParaRPr>
          </a:p>
        </xdr:txBody>
      </xdr:sp>
      <xdr:pic>
        <xdr:nvPicPr>
          <xdr:cNvPr id="6" name="Graphic 5" descr="Schoolhouse outline">
            <a:extLst>
              <a:ext uri="{FF2B5EF4-FFF2-40B4-BE49-F238E27FC236}">
                <a16:creationId xmlns:a16="http://schemas.microsoft.com/office/drawing/2014/main" id="{68FCF78A-9F0A-EC77-67B6-414AEFE9B2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1519" y="281940"/>
            <a:ext cx="439299" cy="579120"/>
          </a:xfrm>
          <a:prstGeom prst="rect">
            <a:avLst/>
          </a:prstGeom>
        </xdr:spPr>
      </xdr:pic>
    </xdr:grpSp>
    <xdr:clientData/>
  </xdr:twoCellAnchor>
  <xdr:twoCellAnchor>
    <xdr:from>
      <xdr:col>0</xdr:col>
      <xdr:colOff>89648</xdr:colOff>
      <xdr:row>0</xdr:row>
      <xdr:rowOff>116541</xdr:rowOff>
    </xdr:from>
    <xdr:to>
      <xdr:col>2</xdr:col>
      <xdr:colOff>591671</xdr:colOff>
      <xdr:row>39</xdr:row>
      <xdr:rowOff>125507</xdr:rowOff>
    </xdr:to>
    <xdr:grpSp>
      <xdr:nvGrpSpPr>
        <xdr:cNvPr id="18" name="Group 17">
          <a:extLst>
            <a:ext uri="{FF2B5EF4-FFF2-40B4-BE49-F238E27FC236}">
              <a16:creationId xmlns:a16="http://schemas.microsoft.com/office/drawing/2014/main" id="{41EA0ECA-DA15-0107-776D-C32EE724ABB0}"/>
            </a:ext>
          </a:extLst>
        </xdr:cNvPr>
        <xdr:cNvGrpSpPr/>
      </xdr:nvGrpSpPr>
      <xdr:grpSpPr>
        <a:xfrm>
          <a:off x="89648" y="116541"/>
          <a:ext cx="1703294" cy="7207625"/>
          <a:chOff x="81815" y="-12041"/>
          <a:chExt cx="1554480" cy="4803376"/>
        </a:xfrm>
      </xdr:grpSpPr>
      <xdr:sp macro="" textlink="">
        <xdr:nvSpPr>
          <xdr:cNvPr id="15" name="Rectangle 14">
            <a:extLst>
              <a:ext uri="{FF2B5EF4-FFF2-40B4-BE49-F238E27FC236}">
                <a16:creationId xmlns:a16="http://schemas.microsoft.com/office/drawing/2014/main" id="{0E1003A6-EF86-BE43-6FC9-3FD28CA28F8F}"/>
              </a:ext>
            </a:extLst>
          </xdr:cNvPr>
          <xdr:cNvSpPr/>
        </xdr:nvSpPr>
        <xdr:spPr>
          <a:xfrm>
            <a:off x="81815" y="5975"/>
            <a:ext cx="1554480" cy="47853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ctr"/>
            <a:endParaRPr lang="en-IN" sz="1400" b="1"/>
          </a:p>
          <a:p>
            <a:pPr algn="ctr"/>
            <a:r>
              <a:rPr lang="en-IN" sz="1600" b="1">
                <a:solidFill>
                  <a:schemeClr val="tx1"/>
                </a:solidFill>
              </a:rPr>
              <a:t>School  Management</a:t>
            </a:r>
          </a:p>
          <a:p>
            <a:pPr algn="ctr"/>
            <a:r>
              <a:rPr lang="en-IN" sz="1600" b="1">
                <a:solidFill>
                  <a:schemeClr val="tx1"/>
                </a:solidFill>
              </a:rPr>
              <a:t>System</a:t>
            </a:r>
            <a:r>
              <a:rPr lang="en-IN" sz="1200" b="1">
                <a:solidFill>
                  <a:schemeClr val="tx1"/>
                </a:solidFill>
              </a:rPr>
              <a:t> </a:t>
            </a:r>
          </a:p>
          <a:p>
            <a:pPr algn="ctr"/>
            <a:endParaRPr lang="en-IN" sz="1100" b="1"/>
          </a:p>
          <a:p>
            <a:pPr algn="ctr"/>
            <a:endParaRPr lang="en-IN" sz="1100" b="1"/>
          </a:p>
          <a:p>
            <a:pPr algn="ctr"/>
            <a:endParaRPr lang="en-IN" sz="1100" b="1"/>
          </a:p>
          <a:p>
            <a:pPr algn="ctr"/>
            <a:r>
              <a:rPr lang="en-IN" sz="1600" b="1"/>
              <a:t> </a:t>
            </a:r>
          </a:p>
          <a:p>
            <a:pPr algn="ctr"/>
            <a:r>
              <a:rPr lang="en-IN" sz="1600" b="1"/>
              <a:t> </a:t>
            </a:r>
          </a:p>
          <a:p>
            <a:pPr algn="ctr"/>
            <a:r>
              <a:rPr lang="en-IN" sz="1600" b="1"/>
              <a:t> </a:t>
            </a:r>
          </a:p>
          <a:p>
            <a:pPr algn="ctr"/>
            <a:endParaRPr lang="en-IN" sz="1600" b="1"/>
          </a:p>
          <a:p>
            <a:pPr algn="ctr"/>
            <a:endParaRPr lang="en-IN" sz="1600" b="1"/>
          </a:p>
        </xdr:txBody>
      </xdr:sp>
      <xdr:pic>
        <xdr:nvPicPr>
          <xdr:cNvPr id="17" name="Graphic 16" descr="Books with solid fill">
            <a:extLst>
              <a:ext uri="{FF2B5EF4-FFF2-40B4-BE49-F238E27FC236}">
                <a16:creationId xmlns:a16="http://schemas.microsoft.com/office/drawing/2014/main" id="{99127BA5-A608-CAF1-17DD-12398FECD2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9018" y="-12041"/>
            <a:ext cx="914400" cy="586740"/>
          </a:xfrm>
          <a:prstGeom prst="rect">
            <a:avLst/>
          </a:prstGeom>
        </xdr:spPr>
      </xdr:pic>
    </xdr:grpSp>
    <xdr:clientData/>
  </xdr:twoCellAnchor>
  <xdr:twoCellAnchor>
    <xdr:from>
      <xdr:col>0</xdr:col>
      <xdr:colOff>143435</xdr:colOff>
      <xdr:row>35</xdr:row>
      <xdr:rowOff>89646</xdr:rowOff>
    </xdr:from>
    <xdr:to>
      <xdr:col>2</xdr:col>
      <xdr:colOff>313763</xdr:colOff>
      <xdr:row>38</xdr:row>
      <xdr:rowOff>8964</xdr:rowOff>
    </xdr:to>
    <xdr:sp macro="" textlink="">
      <xdr:nvSpPr>
        <xdr:cNvPr id="7" name="Rectangle 6">
          <a:hlinkClick xmlns:r="http://schemas.openxmlformats.org/officeDocument/2006/relationships" r:id="rId5"/>
          <a:extLst>
            <a:ext uri="{FF2B5EF4-FFF2-40B4-BE49-F238E27FC236}">
              <a16:creationId xmlns:a16="http://schemas.microsoft.com/office/drawing/2014/main" id="{AE95BCC2-E095-ECF3-E142-6DCF6ED748E4}"/>
            </a:ext>
          </a:extLst>
        </xdr:cNvPr>
        <xdr:cNvSpPr/>
      </xdr:nvSpPr>
      <xdr:spPr>
        <a:xfrm>
          <a:off x="143435" y="6571128"/>
          <a:ext cx="1371599" cy="457201"/>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Exam</a:t>
          </a:r>
          <a:r>
            <a:rPr lang="en-IN" sz="1400" b="1"/>
            <a:t> </a:t>
          </a:r>
          <a:r>
            <a:rPr lang="en-IN" sz="1400" b="1">
              <a:solidFill>
                <a:schemeClr val="tx1"/>
              </a:solidFill>
            </a:rPr>
            <a:t>timetable</a:t>
          </a:r>
        </a:p>
      </xdr:txBody>
    </xdr:sp>
    <xdr:clientData/>
  </xdr:twoCellAnchor>
  <xdr:twoCellAnchor>
    <xdr:from>
      <xdr:col>0</xdr:col>
      <xdr:colOff>206188</xdr:colOff>
      <xdr:row>32</xdr:row>
      <xdr:rowOff>75751</xdr:rowOff>
    </xdr:from>
    <xdr:to>
      <xdr:col>2</xdr:col>
      <xdr:colOff>263563</xdr:colOff>
      <xdr:row>34</xdr:row>
      <xdr:rowOff>148365</xdr:rowOff>
    </xdr:to>
    <xdr:sp macro="" textlink="">
      <xdr:nvSpPr>
        <xdr:cNvPr id="9" name="Rectangle 8">
          <a:hlinkClick xmlns:r="http://schemas.openxmlformats.org/officeDocument/2006/relationships" r:id="rId6"/>
          <a:extLst>
            <a:ext uri="{FF2B5EF4-FFF2-40B4-BE49-F238E27FC236}">
              <a16:creationId xmlns:a16="http://schemas.microsoft.com/office/drawing/2014/main" id="{2215092A-E90A-41B9-BCEC-DE846D50D97C}"/>
            </a:ext>
          </a:extLst>
        </xdr:cNvPr>
        <xdr:cNvSpPr/>
      </xdr:nvSpPr>
      <xdr:spPr>
        <a:xfrm>
          <a:off x="206188" y="6019351"/>
          <a:ext cx="1258646" cy="43120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Events</a:t>
          </a:r>
        </a:p>
      </xdr:txBody>
    </xdr:sp>
    <xdr:clientData/>
  </xdr:twoCellAnchor>
  <xdr:twoCellAnchor>
    <xdr:from>
      <xdr:col>0</xdr:col>
      <xdr:colOff>217842</xdr:colOff>
      <xdr:row>17</xdr:row>
      <xdr:rowOff>55581</xdr:rowOff>
    </xdr:from>
    <xdr:to>
      <xdr:col>2</xdr:col>
      <xdr:colOff>240702</xdr:colOff>
      <xdr:row>19</xdr:row>
      <xdr:rowOff>131782</xdr:rowOff>
    </xdr:to>
    <xdr:sp macro="" textlink="">
      <xdr:nvSpPr>
        <xdr:cNvPr id="14" name="Rectangle 13">
          <a:hlinkClick xmlns:r="http://schemas.openxmlformats.org/officeDocument/2006/relationships" r:id="rId7"/>
          <a:extLst>
            <a:ext uri="{FF2B5EF4-FFF2-40B4-BE49-F238E27FC236}">
              <a16:creationId xmlns:a16="http://schemas.microsoft.com/office/drawing/2014/main" id="{1479F564-2C7F-41DC-BBAF-D766B9BA5CEB}"/>
            </a:ext>
          </a:extLst>
        </xdr:cNvPr>
        <xdr:cNvSpPr/>
      </xdr:nvSpPr>
      <xdr:spPr>
        <a:xfrm>
          <a:off x="217842" y="3309769"/>
          <a:ext cx="1242060" cy="43478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Class 6</a:t>
          </a:r>
        </a:p>
      </xdr:txBody>
    </xdr:sp>
    <xdr:clientData/>
  </xdr:twoCellAnchor>
  <xdr:twoCellAnchor>
    <xdr:from>
      <xdr:col>0</xdr:col>
      <xdr:colOff>215153</xdr:colOff>
      <xdr:row>14</xdr:row>
      <xdr:rowOff>3138</xdr:rowOff>
    </xdr:from>
    <xdr:to>
      <xdr:col>2</xdr:col>
      <xdr:colOff>242047</xdr:colOff>
      <xdr:row>16</xdr:row>
      <xdr:rowOff>71718</xdr:rowOff>
    </xdr:to>
    <xdr:sp macro="" textlink="">
      <xdr:nvSpPr>
        <xdr:cNvPr id="16" name="Rectangle 15">
          <a:hlinkClick xmlns:r="http://schemas.openxmlformats.org/officeDocument/2006/relationships" r:id="rId8"/>
          <a:extLst>
            <a:ext uri="{FF2B5EF4-FFF2-40B4-BE49-F238E27FC236}">
              <a16:creationId xmlns:a16="http://schemas.microsoft.com/office/drawing/2014/main" id="{2620EA81-0A73-40B2-8373-B045744C0B79}"/>
            </a:ext>
          </a:extLst>
        </xdr:cNvPr>
        <xdr:cNvSpPr/>
      </xdr:nvSpPr>
      <xdr:spPr>
        <a:xfrm>
          <a:off x="215153" y="2719444"/>
          <a:ext cx="1228165" cy="427168"/>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Teachers</a:t>
          </a:r>
        </a:p>
      </xdr:txBody>
    </xdr:sp>
    <xdr:clientData/>
  </xdr:twoCellAnchor>
  <xdr:twoCellAnchor>
    <xdr:from>
      <xdr:col>0</xdr:col>
      <xdr:colOff>219186</xdr:colOff>
      <xdr:row>10</xdr:row>
      <xdr:rowOff>141194</xdr:rowOff>
    </xdr:from>
    <xdr:to>
      <xdr:col>2</xdr:col>
      <xdr:colOff>251011</xdr:colOff>
      <xdr:row>13</xdr:row>
      <xdr:rowOff>34513</xdr:rowOff>
    </xdr:to>
    <xdr:sp macro="" textlink="">
      <xdr:nvSpPr>
        <xdr:cNvPr id="19" name="Rectangle 18">
          <a:hlinkClick xmlns:r="http://schemas.openxmlformats.org/officeDocument/2006/relationships" r:id="rId9"/>
          <a:extLst>
            <a:ext uri="{FF2B5EF4-FFF2-40B4-BE49-F238E27FC236}">
              <a16:creationId xmlns:a16="http://schemas.microsoft.com/office/drawing/2014/main" id="{FD9DCF11-A082-4C80-A252-7D93177866BF}"/>
            </a:ext>
          </a:extLst>
        </xdr:cNvPr>
        <xdr:cNvSpPr/>
      </xdr:nvSpPr>
      <xdr:spPr>
        <a:xfrm>
          <a:off x="219186" y="2140323"/>
          <a:ext cx="1251025" cy="43120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Dashboard</a:t>
          </a:r>
        </a:p>
      </xdr:txBody>
    </xdr:sp>
    <xdr:clientData/>
  </xdr:twoCellAnchor>
  <xdr:twoCellAnchor>
    <xdr:from>
      <xdr:col>9</xdr:col>
      <xdr:colOff>600635</xdr:colOff>
      <xdr:row>2</xdr:row>
      <xdr:rowOff>177952</xdr:rowOff>
    </xdr:from>
    <xdr:to>
      <xdr:col>14</xdr:col>
      <xdr:colOff>591673</xdr:colOff>
      <xdr:row>7</xdr:row>
      <xdr:rowOff>107577</xdr:rowOff>
    </xdr:to>
    <xdr:grpSp>
      <xdr:nvGrpSpPr>
        <xdr:cNvPr id="21" name="Group 20">
          <a:extLst>
            <a:ext uri="{FF2B5EF4-FFF2-40B4-BE49-F238E27FC236}">
              <a16:creationId xmlns:a16="http://schemas.microsoft.com/office/drawing/2014/main" id="{A6C999B3-87BF-CD74-E85A-1ECC90B98B3E}"/>
            </a:ext>
          </a:extLst>
        </xdr:cNvPr>
        <xdr:cNvGrpSpPr/>
      </xdr:nvGrpSpPr>
      <xdr:grpSpPr>
        <a:xfrm>
          <a:off x="6060141" y="742728"/>
          <a:ext cx="3039038" cy="826096"/>
          <a:chOff x="4212546" y="713970"/>
          <a:chExt cx="1900088" cy="691627"/>
        </a:xfrm>
        <a:solidFill>
          <a:schemeClr val="bg1">
            <a:lumMod val="85000"/>
          </a:schemeClr>
        </a:solidFill>
      </xdr:grpSpPr>
      <xdr:grpSp>
        <xdr:nvGrpSpPr>
          <xdr:cNvPr id="12" name="Group 11">
            <a:extLst>
              <a:ext uri="{FF2B5EF4-FFF2-40B4-BE49-F238E27FC236}">
                <a16:creationId xmlns:a16="http://schemas.microsoft.com/office/drawing/2014/main" id="{CB2B83E8-D071-0941-61DA-0D876806E554}"/>
              </a:ext>
            </a:extLst>
          </xdr:cNvPr>
          <xdr:cNvGrpSpPr/>
        </xdr:nvGrpSpPr>
        <xdr:grpSpPr>
          <a:xfrm>
            <a:off x="4212546" y="713970"/>
            <a:ext cx="1900088" cy="691627"/>
            <a:chOff x="3337711" y="1340535"/>
            <a:chExt cx="2090327" cy="563881"/>
          </a:xfrm>
          <a:grpFill/>
        </xdr:grpSpPr>
        <xdr:sp macro="" textlink="">
          <xdr:nvSpPr>
            <xdr:cNvPr id="3" name="Rectangle 2">
              <a:extLst>
                <a:ext uri="{FF2B5EF4-FFF2-40B4-BE49-F238E27FC236}">
                  <a16:creationId xmlns:a16="http://schemas.microsoft.com/office/drawing/2014/main" id="{916DDF75-0439-4A55-A8E3-47F21DF62F4E}"/>
                </a:ext>
              </a:extLst>
            </xdr:cNvPr>
            <xdr:cNvSpPr/>
          </xdr:nvSpPr>
          <xdr:spPr>
            <a:xfrm>
              <a:off x="3337711" y="1340535"/>
              <a:ext cx="2090327" cy="563881"/>
            </a:xfrm>
            <a:prstGeom prst="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800" b="1">
                  <a:solidFill>
                    <a:schemeClr val="tx2">
                      <a:lumMod val="60000"/>
                      <a:lumOff val="40000"/>
                    </a:schemeClr>
                  </a:solidFill>
                </a:rPr>
                <a:t>Teachers =</a:t>
              </a:r>
              <a:r>
                <a:rPr lang="en-IN" sz="1600" b="1">
                  <a:solidFill>
                    <a:schemeClr val="tx2">
                      <a:lumMod val="60000"/>
                      <a:lumOff val="40000"/>
                    </a:schemeClr>
                  </a:solidFill>
                </a:rPr>
                <a:t> </a:t>
              </a:r>
            </a:p>
          </xdr:txBody>
        </xdr:sp>
        <xdr:pic>
          <xdr:nvPicPr>
            <xdr:cNvPr id="8" name="Graphic 7" descr="Classroom with solid fill">
              <a:extLst>
                <a:ext uri="{FF2B5EF4-FFF2-40B4-BE49-F238E27FC236}">
                  <a16:creationId xmlns:a16="http://schemas.microsoft.com/office/drawing/2014/main" id="{39E7FEDA-6CF1-B7F0-E46B-6C4FBF9D63A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342927" y="1362612"/>
              <a:ext cx="505439" cy="510540"/>
            </a:xfrm>
            <a:prstGeom prst="rect">
              <a:avLst/>
            </a:prstGeom>
          </xdr:spPr>
        </xdr:pic>
      </xdr:grpSp>
      <xdr:sp macro="" textlink="A61">
        <xdr:nvSpPr>
          <xdr:cNvPr id="20" name="Rectangle 19">
            <a:extLst>
              <a:ext uri="{FF2B5EF4-FFF2-40B4-BE49-F238E27FC236}">
                <a16:creationId xmlns:a16="http://schemas.microsoft.com/office/drawing/2014/main" id="{F3E34274-D5C8-448E-915A-35362C6A729E}"/>
              </a:ext>
            </a:extLst>
          </xdr:cNvPr>
          <xdr:cNvSpPr/>
        </xdr:nvSpPr>
        <xdr:spPr>
          <a:xfrm>
            <a:off x="5334518" y="1047007"/>
            <a:ext cx="618564" cy="313764"/>
          </a:xfrm>
          <a:prstGeom prst="rect">
            <a:avLst/>
          </a:prstGeom>
          <a:grp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r"/>
            <a:fld id="{58377E97-156F-4953-9A1A-3E78E07F39AA}" type="TxLink">
              <a:rPr lang="en-US" sz="2400" b="1" i="0" u="none" strike="noStrike">
                <a:solidFill>
                  <a:schemeClr val="tx2">
                    <a:lumMod val="60000"/>
                    <a:lumOff val="40000"/>
                  </a:schemeClr>
                </a:solidFill>
                <a:latin typeface="Calibri"/>
                <a:ea typeface="Calibri"/>
                <a:cs typeface="Calibri"/>
              </a:rPr>
              <a:pPr algn="r"/>
              <a:t>12</a:t>
            </a:fld>
            <a:endParaRPr lang="en-IN" sz="3600" b="1">
              <a:solidFill>
                <a:schemeClr val="tx2">
                  <a:lumMod val="60000"/>
                  <a:lumOff val="40000"/>
                </a:schemeClr>
              </a:solidFill>
            </a:endParaRPr>
          </a:p>
        </xdr:txBody>
      </xdr:sp>
    </xdr:grpSp>
    <xdr:clientData/>
  </xdr:twoCellAnchor>
  <xdr:twoCellAnchor>
    <xdr:from>
      <xdr:col>15</xdr:col>
      <xdr:colOff>466165</xdr:colOff>
      <xdr:row>2</xdr:row>
      <xdr:rowOff>148176</xdr:rowOff>
    </xdr:from>
    <xdr:to>
      <xdr:col>20</xdr:col>
      <xdr:colOff>591671</xdr:colOff>
      <xdr:row>7</xdr:row>
      <xdr:rowOff>107577</xdr:rowOff>
    </xdr:to>
    <xdr:grpSp>
      <xdr:nvGrpSpPr>
        <xdr:cNvPr id="24" name="Group 23">
          <a:extLst>
            <a:ext uri="{FF2B5EF4-FFF2-40B4-BE49-F238E27FC236}">
              <a16:creationId xmlns:a16="http://schemas.microsoft.com/office/drawing/2014/main" id="{74559F2C-59AB-0B6D-2107-E2CB0C3876F3}"/>
            </a:ext>
          </a:extLst>
        </xdr:cNvPr>
        <xdr:cNvGrpSpPr/>
      </xdr:nvGrpSpPr>
      <xdr:grpSpPr>
        <a:xfrm>
          <a:off x="9583271" y="712952"/>
          <a:ext cx="3173506" cy="855872"/>
          <a:chOff x="6911788" y="820528"/>
          <a:chExt cx="1900517" cy="685541"/>
        </a:xfrm>
      </xdr:grpSpPr>
      <xdr:grpSp>
        <xdr:nvGrpSpPr>
          <xdr:cNvPr id="13" name="Group 12">
            <a:extLst>
              <a:ext uri="{FF2B5EF4-FFF2-40B4-BE49-F238E27FC236}">
                <a16:creationId xmlns:a16="http://schemas.microsoft.com/office/drawing/2014/main" id="{521790FE-B412-6383-B737-16AAF2EEC9C5}"/>
              </a:ext>
            </a:extLst>
          </xdr:cNvPr>
          <xdr:cNvGrpSpPr/>
        </xdr:nvGrpSpPr>
        <xdr:grpSpPr>
          <a:xfrm>
            <a:off x="6911788" y="820528"/>
            <a:ext cx="1900517" cy="685541"/>
            <a:chOff x="5524500" y="1821180"/>
            <a:chExt cx="2100452" cy="660491"/>
          </a:xfrm>
        </xdr:grpSpPr>
        <xdr:sp macro="" textlink="">
          <xdr:nvSpPr>
            <xdr:cNvPr id="4" name="Rectangle 3">
              <a:extLst>
                <a:ext uri="{FF2B5EF4-FFF2-40B4-BE49-F238E27FC236}">
                  <a16:creationId xmlns:a16="http://schemas.microsoft.com/office/drawing/2014/main" id="{4A9DAD04-5A7D-4249-BB3F-92D15CF77E91}"/>
                </a:ext>
              </a:extLst>
            </xdr:cNvPr>
            <xdr:cNvSpPr/>
          </xdr:nvSpPr>
          <xdr:spPr>
            <a:xfrm>
              <a:off x="5613670" y="1833887"/>
              <a:ext cx="2011282" cy="647784"/>
            </a:xfrm>
            <a:prstGeom prst="rect">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800" b="1">
                  <a:solidFill>
                    <a:schemeClr val="accent3">
                      <a:lumMod val="75000"/>
                    </a:schemeClr>
                  </a:solidFill>
                </a:rPr>
                <a:t>Students </a:t>
              </a:r>
              <a:r>
                <a:rPr lang="en-IN" sz="2000" b="1">
                  <a:solidFill>
                    <a:schemeClr val="accent3">
                      <a:lumMod val="75000"/>
                    </a:schemeClr>
                  </a:solidFill>
                </a:rPr>
                <a:t>=</a:t>
              </a:r>
              <a:r>
                <a:rPr lang="en-IN" sz="1600" b="1">
                  <a:solidFill>
                    <a:schemeClr val="accent3">
                      <a:lumMod val="75000"/>
                    </a:schemeClr>
                  </a:solidFill>
                </a:rPr>
                <a:t> </a:t>
              </a:r>
            </a:p>
            <a:p>
              <a:pPr algn="r"/>
              <a:endParaRPr lang="en-IN" sz="1600" b="1">
                <a:solidFill>
                  <a:schemeClr val="accent3">
                    <a:lumMod val="75000"/>
                  </a:schemeClr>
                </a:solidFill>
              </a:endParaRPr>
            </a:p>
          </xdr:txBody>
        </xdr:sp>
        <xdr:pic>
          <xdr:nvPicPr>
            <xdr:cNvPr id="10" name="Graphic 9" descr="School boy with solid fill">
              <a:extLst>
                <a:ext uri="{FF2B5EF4-FFF2-40B4-BE49-F238E27FC236}">
                  <a16:creationId xmlns:a16="http://schemas.microsoft.com/office/drawing/2014/main" id="{56000D56-FB0F-25E9-5BC1-C26C4953203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524500" y="1821180"/>
              <a:ext cx="601980" cy="487680"/>
            </a:xfrm>
            <a:prstGeom prst="rect">
              <a:avLst/>
            </a:prstGeom>
          </xdr:spPr>
        </xdr:pic>
      </xdr:grpSp>
      <xdr:sp macro="" textlink="A62">
        <xdr:nvSpPr>
          <xdr:cNvPr id="23" name="Rectangle 22">
            <a:extLst>
              <a:ext uri="{FF2B5EF4-FFF2-40B4-BE49-F238E27FC236}">
                <a16:creationId xmlns:a16="http://schemas.microsoft.com/office/drawing/2014/main" id="{63CFE992-9F4E-699C-0A52-DD08816FCECC}"/>
              </a:ext>
            </a:extLst>
          </xdr:cNvPr>
          <xdr:cNvSpPr/>
        </xdr:nvSpPr>
        <xdr:spPr>
          <a:xfrm>
            <a:off x="8374252" y="1163629"/>
            <a:ext cx="421947" cy="251010"/>
          </a:xfrm>
          <a:prstGeom prst="rect">
            <a:avLst/>
          </a:prstGeom>
          <a:solidFill>
            <a:schemeClr val="bg1">
              <a:lumMod val="85000"/>
            </a:schemeClr>
          </a:solid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2B3D806A-2D73-4877-998C-C798A05EC8C5}" type="TxLink">
              <a:rPr lang="en-US" sz="2000" b="1" i="0" u="none" strike="noStrike">
                <a:solidFill>
                  <a:schemeClr val="accent3">
                    <a:lumMod val="75000"/>
                  </a:schemeClr>
                </a:solidFill>
                <a:latin typeface="Calibri"/>
                <a:ea typeface="Calibri"/>
                <a:cs typeface="Calibri"/>
              </a:rPr>
              <a:pPr algn="l"/>
              <a:t>150</a:t>
            </a:fld>
            <a:endParaRPr lang="en-IN" sz="2000" b="1">
              <a:solidFill>
                <a:schemeClr val="accent3">
                  <a:lumMod val="75000"/>
                </a:schemeClr>
              </a:solidFill>
            </a:endParaRPr>
          </a:p>
        </xdr:txBody>
      </xdr:sp>
    </xdr:grpSp>
    <xdr:clientData/>
  </xdr:twoCellAnchor>
  <xdr:twoCellAnchor>
    <xdr:from>
      <xdr:col>0</xdr:col>
      <xdr:colOff>204844</xdr:colOff>
      <xdr:row>23</xdr:row>
      <xdr:rowOff>84717</xdr:rowOff>
    </xdr:from>
    <xdr:to>
      <xdr:col>2</xdr:col>
      <xdr:colOff>233081</xdr:colOff>
      <xdr:row>25</xdr:row>
      <xdr:rowOff>134471</xdr:rowOff>
    </xdr:to>
    <xdr:sp macro="" textlink="">
      <xdr:nvSpPr>
        <xdr:cNvPr id="26" name="Rectangle 25">
          <a:hlinkClick xmlns:r="http://schemas.openxmlformats.org/officeDocument/2006/relationships" r:id="rId14"/>
          <a:extLst>
            <a:ext uri="{FF2B5EF4-FFF2-40B4-BE49-F238E27FC236}">
              <a16:creationId xmlns:a16="http://schemas.microsoft.com/office/drawing/2014/main" id="{F0D1EB94-8DAE-4C54-BA58-3C78544CC843}"/>
            </a:ext>
          </a:extLst>
        </xdr:cNvPr>
        <xdr:cNvSpPr/>
      </xdr:nvSpPr>
      <xdr:spPr>
        <a:xfrm>
          <a:off x="204844" y="4414670"/>
          <a:ext cx="1095037" cy="40834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Class 8</a:t>
          </a:r>
        </a:p>
      </xdr:txBody>
    </xdr:sp>
    <xdr:clientData/>
  </xdr:twoCellAnchor>
  <xdr:twoCellAnchor>
    <xdr:from>
      <xdr:col>0</xdr:col>
      <xdr:colOff>197225</xdr:colOff>
      <xdr:row>26</xdr:row>
      <xdr:rowOff>84716</xdr:rowOff>
    </xdr:from>
    <xdr:to>
      <xdr:col>2</xdr:col>
      <xdr:colOff>251012</xdr:colOff>
      <xdr:row>28</xdr:row>
      <xdr:rowOff>134470</xdr:rowOff>
    </xdr:to>
    <xdr:sp macro="" textlink="">
      <xdr:nvSpPr>
        <xdr:cNvPr id="27" name="Rectangle 26">
          <a:hlinkClick xmlns:r="http://schemas.openxmlformats.org/officeDocument/2006/relationships" r:id="rId15"/>
          <a:extLst>
            <a:ext uri="{FF2B5EF4-FFF2-40B4-BE49-F238E27FC236}">
              <a16:creationId xmlns:a16="http://schemas.microsoft.com/office/drawing/2014/main" id="{946A1FC7-18AE-49CA-84E1-533F4F574147}"/>
            </a:ext>
          </a:extLst>
        </xdr:cNvPr>
        <xdr:cNvSpPr/>
      </xdr:nvSpPr>
      <xdr:spPr>
        <a:xfrm>
          <a:off x="197225" y="4952551"/>
          <a:ext cx="1255058" cy="408343"/>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Class 9</a:t>
          </a:r>
        </a:p>
      </xdr:txBody>
    </xdr:sp>
    <xdr:clientData/>
  </xdr:twoCellAnchor>
  <xdr:twoCellAnchor>
    <xdr:from>
      <xdr:col>0</xdr:col>
      <xdr:colOff>213810</xdr:colOff>
      <xdr:row>20</xdr:row>
      <xdr:rowOff>84717</xdr:rowOff>
    </xdr:from>
    <xdr:to>
      <xdr:col>2</xdr:col>
      <xdr:colOff>236670</xdr:colOff>
      <xdr:row>22</xdr:row>
      <xdr:rowOff>157331</xdr:rowOff>
    </xdr:to>
    <xdr:sp macro="" textlink="">
      <xdr:nvSpPr>
        <xdr:cNvPr id="28" name="Rectangle 27">
          <a:hlinkClick xmlns:r="http://schemas.openxmlformats.org/officeDocument/2006/relationships" r:id="rId16"/>
          <a:extLst>
            <a:ext uri="{FF2B5EF4-FFF2-40B4-BE49-F238E27FC236}">
              <a16:creationId xmlns:a16="http://schemas.microsoft.com/office/drawing/2014/main" id="{7D0C7AEC-615C-40E5-B8FF-0BD11CCB41B5}"/>
            </a:ext>
          </a:extLst>
        </xdr:cNvPr>
        <xdr:cNvSpPr/>
      </xdr:nvSpPr>
      <xdr:spPr>
        <a:xfrm>
          <a:off x="213810" y="3876788"/>
          <a:ext cx="1242060" cy="43120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Class 7</a:t>
          </a:r>
        </a:p>
      </xdr:txBody>
    </xdr:sp>
    <xdr:clientData/>
  </xdr:twoCellAnchor>
  <xdr:twoCellAnchor>
    <xdr:from>
      <xdr:col>0</xdr:col>
      <xdr:colOff>204846</xdr:colOff>
      <xdr:row>29</xdr:row>
      <xdr:rowOff>75751</xdr:rowOff>
    </xdr:from>
    <xdr:to>
      <xdr:col>2</xdr:col>
      <xdr:colOff>259975</xdr:colOff>
      <xdr:row>31</xdr:row>
      <xdr:rowOff>125506</xdr:rowOff>
    </xdr:to>
    <xdr:sp macro="" textlink="">
      <xdr:nvSpPr>
        <xdr:cNvPr id="29" name="Rectangle 28">
          <a:hlinkClick xmlns:r="http://schemas.openxmlformats.org/officeDocument/2006/relationships" r:id="rId17"/>
          <a:extLst>
            <a:ext uri="{FF2B5EF4-FFF2-40B4-BE49-F238E27FC236}">
              <a16:creationId xmlns:a16="http://schemas.microsoft.com/office/drawing/2014/main" id="{0F7A5985-4403-4F36-BA47-340D3D5EDC9A}"/>
            </a:ext>
          </a:extLst>
        </xdr:cNvPr>
        <xdr:cNvSpPr/>
      </xdr:nvSpPr>
      <xdr:spPr>
        <a:xfrm>
          <a:off x="204846" y="5481469"/>
          <a:ext cx="1346047" cy="408343"/>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Class 10</a:t>
          </a:r>
        </a:p>
      </xdr:txBody>
    </xdr:sp>
    <xdr:clientData/>
  </xdr:twoCellAnchor>
  <xdr:twoCellAnchor>
    <xdr:from>
      <xdr:col>3</xdr:col>
      <xdr:colOff>89649</xdr:colOff>
      <xdr:row>8</xdr:row>
      <xdr:rowOff>53790</xdr:rowOff>
    </xdr:from>
    <xdr:to>
      <xdr:col>12</xdr:col>
      <xdr:colOff>484095</xdr:colOff>
      <xdr:row>23</xdr:row>
      <xdr:rowOff>80684</xdr:rowOff>
    </xdr:to>
    <xdr:grpSp>
      <xdr:nvGrpSpPr>
        <xdr:cNvPr id="44" name="Group 43">
          <a:extLst>
            <a:ext uri="{FF2B5EF4-FFF2-40B4-BE49-F238E27FC236}">
              <a16:creationId xmlns:a16="http://schemas.microsoft.com/office/drawing/2014/main" id="{2E10D3B0-F610-A57B-18E0-F9A1C1FEB202}"/>
            </a:ext>
          </a:extLst>
        </xdr:cNvPr>
        <xdr:cNvGrpSpPr/>
      </xdr:nvGrpSpPr>
      <xdr:grpSpPr>
        <a:xfrm>
          <a:off x="1891555" y="1694331"/>
          <a:ext cx="5880846" cy="2716306"/>
          <a:chOff x="2277036" y="3101788"/>
          <a:chExt cx="6714566" cy="3756211"/>
        </a:xfrm>
        <a:solidFill>
          <a:schemeClr val="bg1">
            <a:lumMod val="85000"/>
          </a:schemeClr>
        </a:solidFill>
      </xdr:grpSpPr>
      <xdr:grpSp>
        <xdr:nvGrpSpPr>
          <xdr:cNvPr id="43" name="Group 42">
            <a:extLst>
              <a:ext uri="{FF2B5EF4-FFF2-40B4-BE49-F238E27FC236}">
                <a16:creationId xmlns:a16="http://schemas.microsoft.com/office/drawing/2014/main" id="{3FBFBD1F-F431-0AC8-812B-E1AC3C9CC686}"/>
              </a:ext>
            </a:extLst>
          </xdr:cNvPr>
          <xdr:cNvGrpSpPr/>
        </xdr:nvGrpSpPr>
        <xdr:grpSpPr>
          <a:xfrm>
            <a:off x="2277036" y="3101788"/>
            <a:ext cx="6714566" cy="3756211"/>
            <a:chOff x="2330824" y="2985247"/>
            <a:chExt cx="6714566" cy="3756211"/>
          </a:xfrm>
          <a:grpFill/>
        </xdr:grpSpPr>
        <xdr:grpSp>
          <xdr:nvGrpSpPr>
            <xdr:cNvPr id="42" name="Group 41">
              <a:extLst>
                <a:ext uri="{FF2B5EF4-FFF2-40B4-BE49-F238E27FC236}">
                  <a16:creationId xmlns:a16="http://schemas.microsoft.com/office/drawing/2014/main" id="{F4E4715C-0742-B379-6B27-044178222B92}"/>
                </a:ext>
              </a:extLst>
            </xdr:cNvPr>
            <xdr:cNvGrpSpPr/>
          </xdr:nvGrpSpPr>
          <xdr:grpSpPr>
            <a:xfrm>
              <a:off x="2330824" y="2985247"/>
              <a:ext cx="6714566" cy="3756211"/>
              <a:chOff x="2366683" y="3021106"/>
              <a:chExt cx="6714566" cy="3756211"/>
            </a:xfrm>
            <a:grpFill/>
          </xdr:grpSpPr>
          <xdr:sp macro="" textlink="">
            <xdr:nvSpPr>
              <xdr:cNvPr id="30" name="Rectangle 29">
                <a:extLst>
                  <a:ext uri="{FF2B5EF4-FFF2-40B4-BE49-F238E27FC236}">
                    <a16:creationId xmlns:a16="http://schemas.microsoft.com/office/drawing/2014/main" id="{CCCBBBFB-D2B8-27C8-B37C-6B715F256AA9}"/>
                  </a:ext>
                </a:extLst>
              </xdr:cNvPr>
              <xdr:cNvSpPr/>
            </xdr:nvSpPr>
            <xdr:spPr>
              <a:xfrm>
                <a:off x="2366683" y="3021106"/>
                <a:ext cx="6714566" cy="375621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pic>
            <xdr:nvPicPr>
              <xdr:cNvPr id="35" name="Picture 34" descr="Portrait of student after graduation">
                <a:extLst>
                  <a:ext uri="{FF2B5EF4-FFF2-40B4-BE49-F238E27FC236}">
                    <a16:creationId xmlns:a16="http://schemas.microsoft.com/office/drawing/2014/main" id="{FF4D8812-007D-5527-DA4D-876016D91B0E}"/>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20580" t="34313" r="5514"/>
              <a:stretch>
                <a:fillRect/>
              </a:stretch>
            </xdr:blipFill>
            <xdr:spPr>
              <a:xfrm>
                <a:off x="4913505" y="3655707"/>
                <a:ext cx="1568824" cy="1748117"/>
              </a:xfrm>
              <a:prstGeom prst="roundRect">
                <a:avLst/>
              </a:prstGeom>
              <a:grpFill/>
              <a:ln w="28575">
                <a:solidFill>
                  <a:schemeClr val="tx1"/>
                </a:solidFill>
              </a:ln>
            </xdr:spPr>
          </xdr:pic>
          <xdr:pic>
            <xdr:nvPicPr>
              <xdr:cNvPr id="5" name="Picture 36" descr="Girl in graduation cap and gown">
                <a:extLst>
                  <a:ext uri="{FF2B5EF4-FFF2-40B4-BE49-F238E27FC236}">
                    <a16:creationId xmlns:a16="http://schemas.microsoft.com/office/drawing/2014/main" id="{5F3D9909-D353-4C1A-5808-0B3A835157F2}"/>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5837" t="21972" r="24914" b="3460"/>
              <a:stretch>
                <a:fillRect/>
              </a:stretch>
            </xdr:blipFill>
            <xdr:spPr>
              <a:xfrm>
                <a:off x="2581630" y="3616147"/>
                <a:ext cx="1617229" cy="1728104"/>
              </a:xfrm>
              <a:prstGeom prst="roundRect">
                <a:avLst/>
              </a:prstGeom>
              <a:grpFill/>
              <a:ln w="28575">
                <a:solidFill>
                  <a:schemeClr val="tx1"/>
                </a:solidFill>
              </a:ln>
            </xdr:spPr>
          </xdr:pic>
          <xdr:pic>
            <xdr:nvPicPr>
              <xdr:cNvPr id="39" name="Picture 38" descr="Student in robotics class testing vehicle on test track">
                <a:extLst>
                  <a:ext uri="{FF2B5EF4-FFF2-40B4-BE49-F238E27FC236}">
                    <a16:creationId xmlns:a16="http://schemas.microsoft.com/office/drawing/2014/main" id="{81D9DE55-7FE6-51CB-418A-A7890BE1DA67}"/>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21684" r="8650" b="18146"/>
              <a:stretch>
                <a:fillRect/>
              </a:stretch>
            </xdr:blipFill>
            <xdr:spPr>
              <a:xfrm>
                <a:off x="7128702" y="3606120"/>
                <a:ext cx="1550896" cy="1775011"/>
              </a:xfrm>
              <a:prstGeom prst="roundRect">
                <a:avLst/>
              </a:prstGeom>
              <a:grpFill/>
              <a:ln w="28575">
                <a:solidFill>
                  <a:schemeClr val="tx1"/>
                </a:solidFill>
              </a:ln>
            </xdr:spPr>
          </xdr:pic>
        </xdr:grpSp>
        <xdr:sp macro="" textlink="'All Students'!I3">
          <xdr:nvSpPr>
            <xdr:cNvPr id="34" name="Rectangle 33">
              <a:extLst>
                <a:ext uri="{FF2B5EF4-FFF2-40B4-BE49-F238E27FC236}">
                  <a16:creationId xmlns:a16="http://schemas.microsoft.com/office/drawing/2014/main" id="{F5555115-57EF-1EB7-C752-FF5B1AE311D0}"/>
                </a:ext>
              </a:extLst>
            </xdr:cNvPr>
            <xdr:cNvSpPr/>
          </xdr:nvSpPr>
          <xdr:spPr>
            <a:xfrm>
              <a:off x="2750483" y="5426723"/>
              <a:ext cx="1166859" cy="1066797"/>
            </a:xfrm>
            <a:prstGeom prst="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ACF5EA10-8F1A-492B-B6F7-3527E74020D8}" type="TxLink">
                <a:rPr lang="en-US" sz="1400" b="1" i="0" u="none" strike="noStrike">
                  <a:solidFill>
                    <a:srgbClr val="0070C0"/>
                  </a:solidFill>
                  <a:latin typeface="Calibri"/>
                  <a:ea typeface="Calibri"/>
                  <a:cs typeface="Calibri"/>
                </a:rPr>
                <a:pPr marL="0" indent="0" algn="ctr"/>
                <a:t>Jivani Patel  Class 6  87%</a:t>
              </a:fld>
              <a:endParaRPr lang="en-US" sz="1400" b="1" i="0" u="none" strike="noStrike">
                <a:solidFill>
                  <a:srgbClr val="0070C0"/>
                </a:solidFill>
                <a:latin typeface="Calibri"/>
                <a:ea typeface="Calibri"/>
                <a:cs typeface="Calibri"/>
              </a:endParaRPr>
            </a:p>
          </xdr:txBody>
        </xdr:sp>
        <xdr:sp macro="" textlink="'All Students'!I4">
          <xdr:nvSpPr>
            <xdr:cNvPr id="36" name="Rectangle 35">
              <a:extLst>
                <a:ext uri="{FF2B5EF4-FFF2-40B4-BE49-F238E27FC236}">
                  <a16:creationId xmlns:a16="http://schemas.microsoft.com/office/drawing/2014/main" id="{9EBFC86C-B1DF-449C-ADA4-5576D5DF6933}"/>
                </a:ext>
              </a:extLst>
            </xdr:cNvPr>
            <xdr:cNvSpPr/>
          </xdr:nvSpPr>
          <xdr:spPr>
            <a:xfrm>
              <a:off x="5050163" y="5490811"/>
              <a:ext cx="1159959" cy="1064693"/>
            </a:xfrm>
            <a:prstGeom prst="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B675937D-5B7F-43F5-955A-684F2AE3B23A}" type="TxLink">
                <a:rPr lang="en-US" sz="1400" b="1" i="0" u="none" strike="noStrike">
                  <a:solidFill>
                    <a:srgbClr val="0070C0"/>
                  </a:solidFill>
                  <a:latin typeface="Calibri"/>
                  <a:ea typeface="Calibri"/>
                  <a:cs typeface="Calibri"/>
                </a:rPr>
                <a:pPr marL="0" indent="0" algn="ctr"/>
                <a:t>Harsh Jain  Class 10  87%</a:t>
              </a:fld>
              <a:endParaRPr lang="en-IN" sz="1400" b="1" i="0" u="none" strike="noStrike">
                <a:solidFill>
                  <a:srgbClr val="0070C0"/>
                </a:solidFill>
                <a:latin typeface="Calibri"/>
                <a:ea typeface="Calibri"/>
                <a:cs typeface="Calibri"/>
              </a:endParaRPr>
            </a:p>
          </xdr:txBody>
        </xdr:sp>
        <xdr:sp macro="" textlink="'All Students'!I5">
          <xdr:nvSpPr>
            <xdr:cNvPr id="38" name="Rectangle 37">
              <a:extLst>
                <a:ext uri="{FF2B5EF4-FFF2-40B4-BE49-F238E27FC236}">
                  <a16:creationId xmlns:a16="http://schemas.microsoft.com/office/drawing/2014/main" id="{E9494521-B4AA-4714-B11B-25E6CC823625}"/>
                </a:ext>
              </a:extLst>
            </xdr:cNvPr>
            <xdr:cNvSpPr/>
          </xdr:nvSpPr>
          <xdr:spPr>
            <a:xfrm>
              <a:off x="7279832" y="5433586"/>
              <a:ext cx="1202599" cy="1059936"/>
            </a:xfrm>
            <a:prstGeom prst="rect">
              <a:avLst/>
            </a:prstGeom>
            <a:gr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3376EA76-5DCA-4530-961E-69510FB596CA}" type="TxLink">
                <a:rPr lang="en-US" sz="1400" b="1" i="0" u="none" strike="noStrike">
                  <a:solidFill>
                    <a:srgbClr val="0070C0"/>
                  </a:solidFill>
                  <a:latin typeface="Calibri"/>
                  <a:ea typeface="Calibri"/>
                  <a:cs typeface="Calibri"/>
                </a:rPr>
                <a:pPr marL="0" indent="0" algn="ctr"/>
                <a:t>Ravi Gupta  Class 7  85%</a:t>
              </a:fld>
              <a:endParaRPr lang="en-IN" sz="1400" b="1" i="0" u="none" strike="noStrike">
                <a:solidFill>
                  <a:srgbClr val="0070C0"/>
                </a:solidFill>
                <a:latin typeface="Calibri"/>
                <a:ea typeface="Calibri"/>
                <a:cs typeface="Calibri"/>
              </a:endParaRPr>
            </a:p>
          </xdr:txBody>
        </xdr:sp>
      </xdr:grpSp>
      <xdr:sp macro="" textlink="">
        <xdr:nvSpPr>
          <xdr:cNvPr id="31" name="TextBox 30">
            <a:extLst>
              <a:ext uri="{FF2B5EF4-FFF2-40B4-BE49-F238E27FC236}">
                <a16:creationId xmlns:a16="http://schemas.microsoft.com/office/drawing/2014/main" id="{4EE07BDC-4282-31E6-E1D6-6889F0F9149F}"/>
              </a:ext>
            </a:extLst>
          </xdr:cNvPr>
          <xdr:cNvSpPr txBox="1"/>
        </xdr:nvSpPr>
        <xdr:spPr>
          <a:xfrm>
            <a:off x="3364648" y="3163770"/>
            <a:ext cx="4831975" cy="483473"/>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u="dbl">
                <a:solidFill>
                  <a:schemeClr val="accent2">
                    <a:lumMod val="75000"/>
                  </a:schemeClr>
                </a:solidFill>
              </a:rPr>
              <a:t>Top 3 students of school </a:t>
            </a:r>
            <a:r>
              <a:rPr lang="en-IN" sz="1600" u="dbl">
                <a:solidFill>
                  <a:schemeClr val="accent2">
                    <a:lumMod val="75000"/>
                  </a:schemeClr>
                </a:solidFill>
              </a:rPr>
              <a:t>(🥇🥈🥉</a:t>
            </a:r>
            <a:r>
              <a:rPr lang="en-IN" sz="1600" u="dbl"/>
              <a:t>)</a:t>
            </a:r>
            <a:endParaRPr lang="en-IN" sz="1600" b="1" u="dbl"/>
          </a:p>
        </xdr:txBody>
      </xdr:sp>
    </xdr:grpSp>
    <xdr:clientData/>
  </xdr:twoCellAnchor>
  <xdr:twoCellAnchor>
    <xdr:from>
      <xdr:col>21</xdr:col>
      <xdr:colOff>259977</xdr:colOff>
      <xdr:row>0</xdr:row>
      <xdr:rowOff>152397</xdr:rowOff>
    </xdr:from>
    <xdr:to>
      <xdr:col>27</xdr:col>
      <xdr:colOff>493059</xdr:colOff>
      <xdr:row>44</xdr:row>
      <xdr:rowOff>125505</xdr:rowOff>
    </xdr:to>
    <xdr:sp macro="" textlink="">
      <xdr:nvSpPr>
        <xdr:cNvPr id="22" name="Rectangle 21">
          <a:extLst>
            <a:ext uri="{FF2B5EF4-FFF2-40B4-BE49-F238E27FC236}">
              <a16:creationId xmlns:a16="http://schemas.microsoft.com/office/drawing/2014/main" id="{D64BD8C5-49AA-C7DD-5C18-230B6785FFC6}"/>
            </a:ext>
          </a:extLst>
        </xdr:cNvPr>
        <xdr:cNvSpPr/>
      </xdr:nvSpPr>
      <xdr:spPr>
        <a:xfrm>
          <a:off x="13034683" y="152397"/>
          <a:ext cx="3890682" cy="8068237"/>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u="dbl">
              <a:solidFill>
                <a:schemeClr val="tx1"/>
              </a:solidFill>
            </a:rPr>
            <a:t>🔔 </a:t>
          </a:r>
          <a:r>
            <a:rPr lang="en-IN" sz="2400" b="1" u="dbl">
              <a:solidFill>
                <a:schemeClr val="tx1"/>
              </a:solidFill>
            </a:rPr>
            <a:t>Important Notifications</a:t>
          </a:r>
        </a:p>
        <a:p>
          <a:pPr algn="l"/>
          <a:r>
            <a:rPr lang="en-IN" sz="2400">
              <a:solidFill>
                <a:schemeClr val="tx1"/>
              </a:solidFill>
            </a:rPr>
            <a:t>📌 Upcoming Exams start from 10 March  </a:t>
          </a:r>
        </a:p>
        <a:p>
          <a:pPr algn="l"/>
          <a:r>
            <a:rPr lang="en-IN" sz="2400">
              <a:solidFill>
                <a:schemeClr val="tx1"/>
              </a:solidFill>
            </a:rPr>
            <a:t>📝 New Assignment (Mathematics) due on 5 March  </a:t>
          </a:r>
        </a:p>
        <a:p>
          <a:pPr algn="l"/>
          <a:r>
            <a:rPr lang="en-IN" sz="2400">
              <a:solidFill>
                <a:schemeClr val="tx1"/>
              </a:solidFill>
            </a:rPr>
            <a:t>👨‍👩‍👧 Parent-Teacher Meeting on 25 March  </a:t>
          </a:r>
        </a:p>
        <a:p>
          <a:pPr algn="l"/>
          <a:r>
            <a:rPr lang="en-IN" sz="2400">
              <a:solidFill>
                <a:schemeClr val="tx1"/>
              </a:solidFill>
            </a:rPr>
            <a:t>🎉 Holiday on Holi (14 March)  </a:t>
          </a:r>
        </a:p>
        <a:p>
          <a:pPr algn="l"/>
          <a:r>
            <a:rPr lang="en-IN" sz="2400">
              <a:solidFill>
                <a:schemeClr val="tx1"/>
              </a:solidFill>
            </a:rPr>
            <a:t>📚 Science Project submission this week  </a:t>
          </a:r>
        </a:p>
        <a:p>
          <a:pPr algn="l"/>
          <a:r>
            <a:rPr lang="en-IN" sz="2400">
              <a:solidFill>
                <a:schemeClr val="tx1"/>
              </a:solidFill>
            </a:rPr>
            <a:t>🧪 Practical Exams from next Monday  </a:t>
          </a:r>
        </a:p>
        <a:p>
          <a:pPr algn="l"/>
          <a:r>
            <a:rPr lang="en-IN" sz="2400">
              <a:solidFill>
                <a:schemeClr val="tx1"/>
              </a:solidFill>
            </a:rPr>
            <a:t>💰 Fee submission last date: 20 March  </a:t>
          </a:r>
        </a:p>
        <a:p>
          <a:pPr algn="l"/>
          <a:r>
            <a:rPr lang="en-IN" sz="2400">
              <a:solidFill>
                <a:schemeClr val="tx1"/>
              </a:solidFill>
            </a:rPr>
            <a:t>🎭 Annual Function practice ongoing  </a:t>
          </a:r>
        </a:p>
        <a:p>
          <a:pPr algn="l"/>
          <a:r>
            <a:rPr lang="en-IN" sz="2400">
              <a:solidFill>
                <a:schemeClr val="tx1"/>
              </a:solidFill>
            </a:rPr>
            <a:t>🏆 Sports Trial selection this Friday  </a:t>
          </a:r>
        </a:p>
      </xdr:txBody>
    </xdr:sp>
    <xdr:clientData/>
  </xdr:twoCellAnchor>
  <xdr:oneCellAnchor>
    <xdr:from>
      <xdr:col>18</xdr:col>
      <xdr:colOff>519953</xdr:colOff>
      <xdr:row>20</xdr:row>
      <xdr:rowOff>125505</xdr:rowOff>
    </xdr:from>
    <xdr:ext cx="184731" cy="264560"/>
    <xdr:sp macro="" textlink="">
      <xdr:nvSpPr>
        <xdr:cNvPr id="25" name="TextBox 24">
          <a:extLst>
            <a:ext uri="{FF2B5EF4-FFF2-40B4-BE49-F238E27FC236}">
              <a16:creationId xmlns:a16="http://schemas.microsoft.com/office/drawing/2014/main" id="{D4504AF3-D660-B943-D560-6B8D6E7B9F92}"/>
            </a:ext>
          </a:extLst>
        </xdr:cNvPr>
        <xdr:cNvSpPr txBox="1"/>
      </xdr:nvSpPr>
      <xdr:spPr>
        <a:xfrm>
          <a:off x="11465859" y="39175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116540</xdr:colOff>
      <xdr:row>16</xdr:row>
      <xdr:rowOff>101974</xdr:rowOff>
    </xdr:from>
    <xdr:to>
      <xdr:col>21</xdr:col>
      <xdr:colOff>103094</xdr:colOff>
      <xdr:row>31</xdr:row>
      <xdr:rowOff>155762</xdr:rowOff>
    </xdr:to>
    <xdr:graphicFrame macro="">
      <xdr:nvGraphicFramePr>
        <xdr:cNvPr id="32" name="Chart 1">
          <a:extLst>
            <a:ext uri="{FF2B5EF4-FFF2-40B4-BE49-F238E27FC236}">
              <a16:creationId xmlns:a16="http://schemas.microsoft.com/office/drawing/2014/main" id="{E74DADEE-15D8-DA1F-0196-3D627E381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13</xdr:col>
      <xdr:colOff>95026</xdr:colOff>
      <xdr:row>8</xdr:row>
      <xdr:rowOff>89647</xdr:rowOff>
    </xdr:from>
    <xdr:to>
      <xdr:col>21</xdr:col>
      <xdr:colOff>80683</xdr:colOff>
      <xdr:row>16</xdr:row>
      <xdr:rowOff>17930</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619524CE-B6CD-6680-EBCC-8F8FE78592D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992932" y="1730188"/>
              <a:ext cx="4862457" cy="1362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116541</xdr:colOff>
      <xdr:row>5</xdr:row>
      <xdr:rowOff>35859</xdr:rowOff>
    </xdr:from>
    <xdr:to>
      <xdr:col>8</xdr:col>
      <xdr:colOff>528917</xdr:colOff>
      <xdr:row>7</xdr:row>
      <xdr:rowOff>17930</xdr:rowOff>
    </xdr:to>
    <xdr:sp macro="" textlink="">
      <xdr:nvSpPr>
        <xdr:cNvPr id="37" name="Rectangle 36">
          <a:extLst>
            <a:ext uri="{FF2B5EF4-FFF2-40B4-BE49-F238E27FC236}">
              <a16:creationId xmlns:a16="http://schemas.microsoft.com/office/drawing/2014/main" id="{899AED06-EB8D-1CCA-8A31-7D18F5B8DE05}"/>
            </a:ext>
          </a:extLst>
        </xdr:cNvPr>
        <xdr:cNvSpPr/>
      </xdr:nvSpPr>
      <xdr:spPr>
        <a:xfrm>
          <a:off x="4966447" y="1138518"/>
          <a:ext cx="412376" cy="340659"/>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rgbClr val="FF0000"/>
              </a:solidFill>
            </a:rPr>
            <a:t>1</a:t>
          </a:r>
        </a:p>
      </xdr:txBody>
    </xdr:sp>
    <xdr:clientData/>
  </xdr:twoCellAnchor>
  <xdr:twoCellAnchor>
    <xdr:from>
      <xdr:col>3</xdr:col>
      <xdr:colOff>349620</xdr:colOff>
      <xdr:row>27</xdr:row>
      <xdr:rowOff>62756</xdr:rowOff>
    </xdr:from>
    <xdr:to>
      <xdr:col>7</xdr:col>
      <xdr:colOff>170327</xdr:colOff>
      <xdr:row>29</xdr:row>
      <xdr:rowOff>17930</xdr:rowOff>
    </xdr:to>
    <xdr:sp macro="" textlink="'All Students'!N3">
      <xdr:nvSpPr>
        <xdr:cNvPr id="41" name="Rectangle 40">
          <a:extLst>
            <a:ext uri="{FF2B5EF4-FFF2-40B4-BE49-F238E27FC236}">
              <a16:creationId xmlns:a16="http://schemas.microsoft.com/office/drawing/2014/main" id="{A546253B-B60C-E6FA-EF67-BC5DCCFA2CE8}"/>
            </a:ext>
          </a:extLst>
        </xdr:cNvPr>
        <xdr:cNvSpPr/>
      </xdr:nvSpPr>
      <xdr:spPr>
        <a:xfrm>
          <a:off x="2151526" y="5109885"/>
          <a:ext cx="2259107" cy="313763"/>
        </a:xfrm>
        <a:prstGeom prst="rect">
          <a:avLst/>
        </a:prstGeom>
        <a:solidFill>
          <a:schemeClr val="bg1">
            <a:lumMod val="8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477092D-2EED-4A2D-8127-2BC12A43CBE1}" type="TxLink">
            <a:rPr lang="en-US" sz="1400" b="1" i="0" u="none" strike="noStrike">
              <a:solidFill>
                <a:srgbClr val="0070C0"/>
              </a:solidFill>
              <a:latin typeface="Calibri"/>
              <a:ea typeface="Calibri"/>
              <a:cs typeface="Calibri"/>
            </a:rPr>
            <a:pPr algn="ctr"/>
            <a:t>Jivani Patel | Class 6 | 87%</a:t>
          </a:fld>
          <a:endParaRPr lang="en-US" sz="1400" b="1">
            <a:solidFill>
              <a:srgbClr val="0070C0"/>
            </a:solidFill>
          </a:endParaRPr>
        </a:p>
      </xdr:txBody>
    </xdr:sp>
    <xdr:clientData/>
  </xdr:twoCellAnchor>
  <xdr:twoCellAnchor>
    <xdr:from>
      <xdr:col>3</xdr:col>
      <xdr:colOff>358590</xdr:colOff>
      <xdr:row>30</xdr:row>
      <xdr:rowOff>17929</xdr:rowOff>
    </xdr:from>
    <xdr:to>
      <xdr:col>7</xdr:col>
      <xdr:colOff>179294</xdr:colOff>
      <xdr:row>31</xdr:row>
      <xdr:rowOff>152400</xdr:rowOff>
    </xdr:to>
    <xdr:sp macro="" textlink="'All Students'!N4">
      <xdr:nvSpPr>
        <xdr:cNvPr id="45" name="Rectangle 44">
          <a:extLst>
            <a:ext uri="{FF2B5EF4-FFF2-40B4-BE49-F238E27FC236}">
              <a16:creationId xmlns:a16="http://schemas.microsoft.com/office/drawing/2014/main" id="{15B81DD1-19B9-4F34-A82F-6B82BA9EB037}"/>
            </a:ext>
          </a:extLst>
        </xdr:cNvPr>
        <xdr:cNvSpPr/>
      </xdr:nvSpPr>
      <xdr:spPr>
        <a:xfrm>
          <a:off x="2160496" y="5602941"/>
          <a:ext cx="2259104" cy="313765"/>
        </a:xfrm>
        <a:prstGeom prst="rect">
          <a:avLst/>
        </a:prstGeom>
        <a:solidFill>
          <a:schemeClr val="bg1">
            <a:lumMod val="8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0D5018-2091-45AF-8578-EB69AEBFEA74}" type="TxLink">
            <a:rPr lang="en-US" sz="1400" b="1" i="0" u="none" strike="noStrike">
              <a:solidFill>
                <a:srgbClr val="0070C0"/>
              </a:solidFill>
              <a:latin typeface="Calibri"/>
              <a:ea typeface="Calibri"/>
              <a:cs typeface="Calibri"/>
            </a:rPr>
            <a:pPr algn="ctr"/>
            <a:t>Ravi Gupta | Class 7 | 85%</a:t>
          </a:fld>
          <a:endParaRPr lang="en-US" sz="1400" b="1">
            <a:solidFill>
              <a:srgbClr val="0070C0"/>
            </a:solidFill>
          </a:endParaRPr>
        </a:p>
      </xdr:txBody>
    </xdr:sp>
    <xdr:clientData/>
  </xdr:twoCellAnchor>
  <xdr:twoCellAnchor>
    <xdr:from>
      <xdr:col>3</xdr:col>
      <xdr:colOff>340659</xdr:colOff>
      <xdr:row>32</xdr:row>
      <xdr:rowOff>98611</xdr:rowOff>
    </xdr:from>
    <xdr:to>
      <xdr:col>7</xdr:col>
      <xdr:colOff>197222</xdr:colOff>
      <xdr:row>34</xdr:row>
      <xdr:rowOff>53788</xdr:rowOff>
    </xdr:to>
    <xdr:sp macro="" textlink="'All Students'!N5">
      <xdr:nvSpPr>
        <xdr:cNvPr id="46" name="Rectangle 45">
          <a:extLst>
            <a:ext uri="{FF2B5EF4-FFF2-40B4-BE49-F238E27FC236}">
              <a16:creationId xmlns:a16="http://schemas.microsoft.com/office/drawing/2014/main" id="{C43D8DBB-35C1-4CCB-BA61-4261473485A4}"/>
            </a:ext>
          </a:extLst>
        </xdr:cNvPr>
        <xdr:cNvSpPr/>
      </xdr:nvSpPr>
      <xdr:spPr>
        <a:xfrm>
          <a:off x="2142565" y="6042211"/>
          <a:ext cx="2294963" cy="313765"/>
        </a:xfrm>
        <a:prstGeom prst="rect">
          <a:avLst/>
        </a:prstGeom>
        <a:solidFill>
          <a:schemeClr val="bg1">
            <a:lumMod val="8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75C2EC2-5EA8-4F75-A03D-6DDDCFD1A73D}" type="TxLink">
            <a:rPr lang="en-US" sz="1400" b="1" i="0" u="none" strike="noStrike">
              <a:solidFill>
                <a:srgbClr val="0070C0"/>
              </a:solidFill>
              <a:latin typeface="Calibri"/>
              <a:ea typeface="Calibri"/>
              <a:cs typeface="Calibri"/>
            </a:rPr>
            <a:pPr marL="0" indent="0" algn="ctr"/>
            <a:t>Nikhil Kumar | Class 8 | 85%</a:t>
          </a:fld>
          <a:endParaRPr lang="en-US" sz="1400" b="1" i="0" u="none" strike="noStrike">
            <a:solidFill>
              <a:srgbClr val="0070C0"/>
            </a:solidFill>
            <a:latin typeface="Calibri"/>
            <a:ea typeface="Calibri"/>
            <a:cs typeface="Calibri"/>
          </a:endParaRPr>
        </a:p>
      </xdr:txBody>
    </xdr:sp>
    <xdr:clientData/>
  </xdr:twoCellAnchor>
  <xdr:twoCellAnchor>
    <xdr:from>
      <xdr:col>8</xdr:col>
      <xdr:colOff>233084</xdr:colOff>
      <xdr:row>30</xdr:row>
      <xdr:rowOff>44824</xdr:rowOff>
    </xdr:from>
    <xdr:to>
      <xdr:col>12</xdr:col>
      <xdr:colOff>80681</xdr:colOff>
      <xdr:row>32</xdr:row>
      <xdr:rowOff>1</xdr:rowOff>
    </xdr:to>
    <xdr:sp macro="" textlink="'All Students'!N7">
      <xdr:nvSpPr>
        <xdr:cNvPr id="47" name="Rectangle 46">
          <a:extLst>
            <a:ext uri="{FF2B5EF4-FFF2-40B4-BE49-F238E27FC236}">
              <a16:creationId xmlns:a16="http://schemas.microsoft.com/office/drawing/2014/main" id="{D50CBA44-0CC3-4970-9FEB-8DCD7215C430}"/>
            </a:ext>
          </a:extLst>
        </xdr:cNvPr>
        <xdr:cNvSpPr/>
      </xdr:nvSpPr>
      <xdr:spPr>
        <a:xfrm>
          <a:off x="5082990" y="5629836"/>
          <a:ext cx="2285997" cy="313765"/>
        </a:xfrm>
        <a:prstGeom prst="rect">
          <a:avLst/>
        </a:prstGeom>
        <a:solidFill>
          <a:schemeClr val="bg1">
            <a:lumMod val="8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937545E-3EA5-4FD6-A594-4C12892DA120}" type="TxLink">
            <a:rPr lang="en-US" sz="1400" b="1" i="0" u="none" strike="noStrike">
              <a:solidFill>
                <a:srgbClr val="0070C0"/>
              </a:solidFill>
              <a:latin typeface="Calibri"/>
              <a:ea typeface="Calibri"/>
              <a:cs typeface="Calibri"/>
            </a:rPr>
            <a:pPr marL="0" indent="0" algn="ctr"/>
            <a:t>Harsh Jain | Class 10 | 87%</a:t>
          </a:fld>
          <a:endParaRPr lang="en-US" sz="1400" b="1" i="0" u="none" strike="noStrike">
            <a:solidFill>
              <a:srgbClr val="0070C0"/>
            </a:solidFill>
            <a:latin typeface="Calibri"/>
            <a:ea typeface="Calibri"/>
            <a:cs typeface="Calibri"/>
          </a:endParaRPr>
        </a:p>
      </xdr:txBody>
    </xdr:sp>
    <xdr:clientData/>
  </xdr:twoCellAnchor>
  <xdr:twoCellAnchor>
    <xdr:from>
      <xdr:col>8</xdr:col>
      <xdr:colOff>224116</xdr:colOff>
      <xdr:row>27</xdr:row>
      <xdr:rowOff>44825</xdr:rowOff>
    </xdr:from>
    <xdr:to>
      <xdr:col>12</xdr:col>
      <xdr:colOff>71717</xdr:colOff>
      <xdr:row>29</xdr:row>
      <xdr:rowOff>1</xdr:rowOff>
    </xdr:to>
    <xdr:sp macro="" textlink="'All Students'!N6">
      <xdr:nvSpPr>
        <xdr:cNvPr id="48" name="Rectangle 47">
          <a:extLst>
            <a:ext uri="{FF2B5EF4-FFF2-40B4-BE49-F238E27FC236}">
              <a16:creationId xmlns:a16="http://schemas.microsoft.com/office/drawing/2014/main" id="{6421F649-F97F-4F63-9260-46100A25CEA0}"/>
            </a:ext>
          </a:extLst>
        </xdr:cNvPr>
        <xdr:cNvSpPr/>
      </xdr:nvSpPr>
      <xdr:spPr>
        <a:xfrm>
          <a:off x="5074022" y="5091954"/>
          <a:ext cx="2286001" cy="313765"/>
        </a:xfrm>
        <a:prstGeom prst="rect">
          <a:avLst/>
        </a:prstGeom>
        <a:solidFill>
          <a:schemeClr val="bg1">
            <a:lumMod val="8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5CDE4D8-0BA2-4DC8-A040-8BB6A0B9A1D7}" type="TxLink">
            <a:rPr lang="en-US" sz="1400" b="1" i="0" u="none" strike="noStrike">
              <a:solidFill>
                <a:srgbClr val="0070C0"/>
              </a:solidFill>
              <a:latin typeface="Calibri"/>
              <a:ea typeface="Calibri"/>
              <a:cs typeface="Calibri"/>
            </a:rPr>
            <a:pPr marL="0" indent="0" algn="ctr"/>
            <a:t>Rohan Yadav | Class 9 | 83%</a:t>
          </a:fld>
          <a:endParaRPr lang="en-US" sz="1400" b="1" i="0" u="none" strike="noStrike">
            <a:solidFill>
              <a:srgbClr val="0070C0"/>
            </a:solidFill>
            <a:latin typeface="Calibri"/>
            <a:ea typeface="Calibri"/>
            <a:cs typeface="Calibri"/>
          </a:endParaRPr>
        </a:p>
      </xdr:txBody>
    </xdr:sp>
    <xdr:clientData/>
  </xdr:twoCellAnchor>
  <xdr:twoCellAnchor>
    <xdr:from>
      <xdr:col>5</xdr:col>
      <xdr:colOff>188258</xdr:colOff>
      <xdr:row>24</xdr:row>
      <xdr:rowOff>107577</xdr:rowOff>
    </xdr:from>
    <xdr:to>
      <xdr:col>9</xdr:col>
      <xdr:colOff>475128</xdr:colOff>
      <xdr:row>26</xdr:row>
      <xdr:rowOff>80683</xdr:rowOff>
    </xdr:to>
    <xdr:sp macro="" textlink="">
      <xdr:nvSpPr>
        <xdr:cNvPr id="50" name="Rectangle 49">
          <a:extLst>
            <a:ext uri="{FF2B5EF4-FFF2-40B4-BE49-F238E27FC236}">
              <a16:creationId xmlns:a16="http://schemas.microsoft.com/office/drawing/2014/main" id="{AF375C4B-8BDA-0920-8ABC-3B27CE263F7E}"/>
            </a:ext>
          </a:extLst>
        </xdr:cNvPr>
        <xdr:cNvSpPr/>
      </xdr:nvSpPr>
      <xdr:spPr>
        <a:xfrm>
          <a:off x="3209364" y="4616824"/>
          <a:ext cx="2725270" cy="331694"/>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u="dbl">
              <a:solidFill>
                <a:schemeClr val="accent2">
                  <a:lumMod val="75000"/>
                </a:schemeClr>
              </a:solidFill>
            </a:rPr>
            <a:t>🎯 Class-wise Toppers </a:t>
          </a:r>
          <a:endParaRPr lang="en-IN" sz="1100" b="1" u="dbl">
            <a:solidFill>
              <a:schemeClr val="accent2">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571500</xdr:colOff>
      <xdr:row>1</xdr:row>
      <xdr:rowOff>45720</xdr:rowOff>
    </xdr:from>
    <xdr:to>
      <xdr:col>21</xdr:col>
      <xdr:colOff>457200</xdr:colOff>
      <xdr:row>4</xdr:row>
      <xdr:rowOff>76200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5E8F6BCF-F09D-F100-0681-DC8F0397AC3E}"/>
            </a:ext>
          </a:extLst>
        </xdr:cNvPr>
        <xdr:cNvSpPr/>
      </xdr:nvSpPr>
      <xdr:spPr>
        <a:xfrm>
          <a:off x="12938760" y="228600"/>
          <a:ext cx="1104900" cy="57912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chemeClr val="tx2">
                  <a:lumMod val="50000"/>
                </a:schemeClr>
              </a:solidFill>
            </a:rPr>
            <a:t>👉 Back to Dashboard</a:t>
          </a:r>
        </a:p>
      </xdr:txBody>
    </xdr:sp>
    <xdr:clientData/>
  </xdr:twoCellAnchor>
  <xdr:twoCellAnchor>
    <xdr:from>
      <xdr:col>0</xdr:col>
      <xdr:colOff>335280</xdr:colOff>
      <xdr:row>0</xdr:row>
      <xdr:rowOff>60960</xdr:rowOff>
    </xdr:from>
    <xdr:to>
      <xdr:col>19</xdr:col>
      <xdr:colOff>137160</xdr:colOff>
      <xdr:row>27</xdr:row>
      <xdr:rowOff>7620</xdr:rowOff>
    </xdr:to>
    <xdr:grpSp>
      <xdr:nvGrpSpPr>
        <xdr:cNvPr id="5" name="Group 4">
          <a:extLst>
            <a:ext uri="{FF2B5EF4-FFF2-40B4-BE49-F238E27FC236}">
              <a16:creationId xmlns:a16="http://schemas.microsoft.com/office/drawing/2014/main" id="{4DA9953B-7698-0795-2725-FD97987F9841}"/>
            </a:ext>
          </a:extLst>
        </xdr:cNvPr>
        <xdr:cNvGrpSpPr/>
      </xdr:nvGrpSpPr>
      <xdr:grpSpPr>
        <a:xfrm>
          <a:off x="335280" y="60960"/>
          <a:ext cx="12169140" cy="4884420"/>
          <a:chOff x="693420" y="45720"/>
          <a:chExt cx="11856720" cy="4884420"/>
        </a:xfrm>
      </xdr:grpSpPr>
      <xdr:sp macro="" textlink="">
        <xdr:nvSpPr>
          <xdr:cNvPr id="27" name="Rectangle: Rounded Corners 26">
            <a:extLst>
              <a:ext uri="{FF2B5EF4-FFF2-40B4-BE49-F238E27FC236}">
                <a16:creationId xmlns:a16="http://schemas.microsoft.com/office/drawing/2014/main" id="{A2F3AC5F-B123-3E74-5596-9EE61C01E5F0}"/>
              </a:ext>
            </a:extLst>
          </xdr:cNvPr>
          <xdr:cNvSpPr/>
        </xdr:nvSpPr>
        <xdr:spPr>
          <a:xfrm>
            <a:off x="693420" y="45720"/>
            <a:ext cx="11856720" cy="488442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 name="Picture 6" descr="Receptionist at a hotel">
            <a:extLst>
              <a:ext uri="{FF2B5EF4-FFF2-40B4-BE49-F238E27FC236}">
                <a16:creationId xmlns:a16="http://schemas.microsoft.com/office/drawing/2014/main" id="{3009D3A1-7866-81D8-A77D-26E3E2E1038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2353"/>
          <a:stretch>
            <a:fillRect/>
          </a:stretch>
        </xdr:blipFill>
        <xdr:spPr>
          <a:xfrm>
            <a:off x="3886200" y="822960"/>
            <a:ext cx="1013460" cy="982980"/>
          </a:xfrm>
          <a:prstGeom prst="flowChartConnector">
            <a:avLst/>
          </a:prstGeom>
          <a:ln>
            <a:solidFill>
              <a:schemeClr val="tx1">
                <a:lumMod val="95000"/>
                <a:lumOff val="5000"/>
              </a:schemeClr>
            </a:solidFill>
          </a:ln>
        </xdr:spPr>
      </xdr:pic>
      <xdr:pic>
        <xdr:nvPicPr>
          <xdr:cNvPr id="9" name="Picture 8" descr="Woman painting">
            <a:extLst>
              <a:ext uri="{FF2B5EF4-FFF2-40B4-BE49-F238E27FC236}">
                <a16:creationId xmlns:a16="http://schemas.microsoft.com/office/drawing/2014/main" id="{B92B1EA6-933D-9B1E-6D2F-12801B4AB8C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0569" t="22994"/>
          <a:stretch>
            <a:fillRect/>
          </a:stretch>
        </xdr:blipFill>
        <xdr:spPr>
          <a:xfrm>
            <a:off x="6697980" y="2232661"/>
            <a:ext cx="1059180" cy="1059180"/>
          </a:xfrm>
          <a:prstGeom prst="ellipse">
            <a:avLst/>
          </a:prstGeom>
          <a:ln>
            <a:solidFill>
              <a:schemeClr val="tx1">
                <a:lumMod val="95000"/>
                <a:lumOff val="5000"/>
              </a:schemeClr>
            </a:solidFill>
          </a:ln>
        </xdr:spPr>
      </xdr:pic>
      <xdr:pic>
        <xdr:nvPicPr>
          <xdr:cNvPr id="11" name="Picture 10" descr="Person sitting with laptop">
            <a:extLst>
              <a:ext uri="{FF2B5EF4-FFF2-40B4-BE49-F238E27FC236}">
                <a16:creationId xmlns:a16="http://schemas.microsoft.com/office/drawing/2014/main" id="{5AD5BAAF-54ED-55ED-ACD0-ECDF692F5FA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814" t="16258" b="3468"/>
          <a:stretch>
            <a:fillRect/>
          </a:stretch>
        </xdr:blipFill>
        <xdr:spPr>
          <a:xfrm>
            <a:off x="9517380" y="792480"/>
            <a:ext cx="1097280" cy="1021080"/>
          </a:xfrm>
          <a:prstGeom prst="ellipse">
            <a:avLst/>
          </a:prstGeom>
          <a:ln>
            <a:solidFill>
              <a:schemeClr val="tx1">
                <a:lumMod val="95000"/>
                <a:lumOff val="5000"/>
              </a:schemeClr>
            </a:solidFill>
          </a:ln>
        </xdr:spPr>
      </xdr:pic>
      <xdr:pic>
        <xdr:nvPicPr>
          <xdr:cNvPr id="15" name="Picture 14" descr="Teacher pointing to whiteboard">
            <a:extLst>
              <a:ext uri="{FF2B5EF4-FFF2-40B4-BE49-F238E27FC236}">
                <a16:creationId xmlns:a16="http://schemas.microsoft.com/office/drawing/2014/main" id="{46C9C0DA-3665-E381-0815-DD9E4D56770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 r="18863" b="3960"/>
          <a:stretch>
            <a:fillRect/>
          </a:stretch>
        </xdr:blipFill>
        <xdr:spPr>
          <a:xfrm>
            <a:off x="1249680" y="822960"/>
            <a:ext cx="982980" cy="990600"/>
          </a:xfrm>
          <a:prstGeom prst="flowChartConnector">
            <a:avLst/>
          </a:prstGeom>
          <a:ln>
            <a:solidFill>
              <a:schemeClr val="tx1">
                <a:lumMod val="95000"/>
                <a:lumOff val="5000"/>
              </a:schemeClr>
            </a:solidFill>
          </a:ln>
        </xdr:spPr>
      </xdr:pic>
      <xdr:pic>
        <xdr:nvPicPr>
          <xdr:cNvPr id="17" name="Picture 16" descr="Man using tablet in a library">
            <a:extLst>
              <a:ext uri="{FF2B5EF4-FFF2-40B4-BE49-F238E27FC236}">
                <a16:creationId xmlns:a16="http://schemas.microsoft.com/office/drawing/2014/main" id="{7D68364B-5C7D-EF91-4C15-2DDE82D487C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23787" b="7647"/>
          <a:stretch>
            <a:fillRect/>
          </a:stretch>
        </xdr:blipFill>
        <xdr:spPr>
          <a:xfrm>
            <a:off x="1264920" y="2293621"/>
            <a:ext cx="990600" cy="998220"/>
          </a:xfrm>
          <a:prstGeom prst="flowChartConnector">
            <a:avLst/>
          </a:prstGeom>
          <a:ln>
            <a:solidFill>
              <a:schemeClr val="tx1">
                <a:lumMod val="95000"/>
                <a:lumOff val="5000"/>
              </a:schemeClr>
            </a:solidFill>
          </a:ln>
        </xdr:spPr>
      </xdr:pic>
      <xdr:pic>
        <xdr:nvPicPr>
          <xdr:cNvPr id="19" name="Picture 18" descr="Person playing the guitar">
            <a:extLst>
              <a:ext uri="{FF2B5EF4-FFF2-40B4-BE49-F238E27FC236}">
                <a16:creationId xmlns:a16="http://schemas.microsoft.com/office/drawing/2014/main" id="{A1E14CCF-4112-A1C5-A094-DB0F2BCDBA1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4839"/>
          <a:stretch>
            <a:fillRect/>
          </a:stretch>
        </xdr:blipFill>
        <xdr:spPr>
          <a:xfrm>
            <a:off x="6690360" y="800100"/>
            <a:ext cx="1036320" cy="1021080"/>
          </a:xfrm>
          <a:prstGeom prst="flowChartConnector">
            <a:avLst/>
          </a:prstGeom>
          <a:ln>
            <a:solidFill>
              <a:schemeClr val="tx1">
                <a:lumMod val="95000"/>
                <a:lumOff val="5000"/>
              </a:schemeClr>
            </a:solidFill>
          </a:ln>
        </xdr:spPr>
      </xdr:pic>
      <xdr:pic>
        <xdr:nvPicPr>
          <xdr:cNvPr id="21" name="Picture 20" descr="Pink haired woman by the road">
            <a:extLst>
              <a:ext uri="{FF2B5EF4-FFF2-40B4-BE49-F238E27FC236}">
                <a16:creationId xmlns:a16="http://schemas.microsoft.com/office/drawing/2014/main" id="{3FB34BFF-2DCB-F655-BCA2-4303382F9471}"/>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0945" t="13440" r="24378" b="6452"/>
          <a:stretch>
            <a:fillRect/>
          </a:stretch>
        </xdr:blipFill>
        <xdr:spPr>
          <a:xfrm>
            <a:off x="3909060" y="2278380"/>
            <a:ext cx="1028700" cy="1021080"/>
          </a:xfrm>
          <a:prstGeom prst="flowChartConnector">
            <a:avLst/>
          </a:prstGeom>
          <a:ln>
            <a:solidFill>
              <a:schemeClr val="tx1">
                <a:lumMod val="95000"/>
                <a:lumOff val="5000"/>
              </a:schemeClr>
            </a:solidFill>
          </a:ln>
        </xdr:spPr>
      </xdr:pic>
      <xdr:pic>
        <xdr:nvPicPr>
          <xdr:cNvPr id="23" name="Picture 22" descr="Person sitting and writing">
            <a:extLst>
              <a:ext uri="{FF2B5EF4-FFF2-40B4-BE49-F238E27FC236}">
                <a16:creationId xmlns:a16="http://schemas.microsoft.com/office/drawing/2014/main" id="{5F09E719-66A7-6EF7-2DF3-989AE173C6CD}"/>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10317"/>
          <a:stretch>
            <a:fillRect/>
          </a:stretch>
        </xdr:blipFill>
        <xdr:spPr>
          <a:xfrm>
            <a:off x="3962400" y="3779520"/>
            <a:ext cx="998220" cy="990600"/>
          </a:xfrm>
          <a:prstGeom prst="flowChartConnector">
            <a:avLst/>
          </a:prstGeom>
          <a:ln>
            <a:solidFill>
              <a:schemeClr val="tx1">
                <a:lumMod val="95000"/>
                <a:lumOff val="5000"/>
              </a:schemeClr>
            </a:solidFill>
          </a:ln>
        </xdr:spPr>
      </xdr:pic>
      <xdr:pic>
        <xdr:nvPicPr>
          <xdr:cNvPr id="25" name="Picture 24" descr="Adults writing and consulting textbooks">
            <a:extLst>
              <a:ext uri="{FF2B5EF4-FFF2-40B4-BE49-F238E27FC236}">
                <a16:creationId xmlns:a16="http://schemas.microsoft.com/office/drawing/2014/main" id="{6C0815AE-1080-2397-FD5C-A8D862C64F70}"/>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3582" t="14113" r="34030"/>
          <a:stretch>
            <a:fillRect/>
          </a:stretch>
        </xdr:blipFill>
        <xdr:spPr>
          <a:xfrm>
            <a:off x="1234440" y="3771900"/>
            <a:ext cx="998220" cy="990600"/>
          </a:xfrm>
          <a:prstGeom prst="flowChartConnector">
            <a:avLst/>
          </a:prstGeom>
          <a:ln>
            <a:solidFill>
              <a:schemeClr val="tx1">
                <a:lumMod val="95000"/>
                <a:lumOff val="5000"/>
              </a:schemeClr>
            </a:solidFill>
          </a:ln>
        </xdr:spPr>
      </xdr:pic>
      <xdr:sp macro="" textlink="">
        <xdr:nvSpPr>
          <xdr:cNvPr id="28" name="TextBox 27">
            <a:extLst>
              <a:ext uri="{FF2B5EF4-FFF2-40B4-BE49-F238E27FC236}">
                <a16:creationId xmlns:a16="http://schemas.microsoft.com/office/drawing/2014/main" id="{5EE78074-0E8C-D2DF-9867-681E235F82F3}"/>
              </a:ext>
            </a:extLst>
          </xdr:cNvPr>
          <xdr:cNvSpPr txBox="1"/>
        </xdr:nvSpPr>
        <xdr:spPr>
          <a:xfrm>
            <a:off x="2286000" y="1325880"/>
            <a:ext cx="1196340" cy="51054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Ananya</a:t>
            </a:r>
            <a:r>
              <a:rPr lang="en-IN" sz="1100" b="1" i="0" u="none" strike="noStrike" baseline="0">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Sharma</a:t>
            </a:r>
            <a:r>
              <a:rPr lang="en-IN" b="1">
                <a:effectLst/>
              </a:rPr>
              <a:t> </a:t>
            </a:r>
            <a:r>
              <a:rPr lang="en-IN" sz="1100" b="1" i="0" u="none" strike="noStrike">
                <a:solidFill>
                  <a:schemeClr val="dk1"/>
                </a:solidFill>
                <a:effectLst/>
                <a:latin typeface="+mn-lt"/>
                <a:ea typeface="+mn-ea"/>
                <a:cs typeface="+mn-cs"/>
              </a:rPr>
              <a:t>Math</a:t>
            </a:r>
          </a:p>
        </xdr:txBody>
      </xdr:sp>
      <xdr:sp macro="" textlink="">
        <xdr:nvSpPr>
          <xdr:cNvPr id="30" name="TextBox 29">
            <a:extLst>
              <a:ext uri="{FF2B5EF4-FFF2-40B4-BE49-F238E27FC236}">
                <a16:creationId xmlns:a16="http://schemas.microsoft.com/office/drawing/2014/main" id="{CDAB61B8-F88A-4DC1-AB11-59F9E4B22239}"/>
              </a:ext>
            </a:extLst>
          </xdr:cNvPr>
          <xdr:cNvSpPr txBox="1"/>
        </xdr:nvSpPr>
        <xdr:spPr>
          <a:xfrm>
            <a:off x="7879080" y="4259580"/>
            <a:ext cx="120396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Sakshi Singh </a:t>
            </a:r>
          </a:p>
          <a:p>
            <a:pPr marL="0" indent="0" algn="ctr"/>
            <a:r>
              <a:rPr lang="en-IN" sz="1100" b="1" i="0" u="none" strike="noStrike">
                <a:solidFill>
                  <a:schemeClr val="dk1"/>
                </a:solidFill>
                <a:effectLst/>
                <a:latin typeface="+mn-lt"/>
                <a:ea typeface="+mn-ea"/>
                <a:cs typeface="+mn-cs"/>
              </a:rPr>
              <a:t>Art </a:t>
            </a:r>
          </a:p>
        </xdr:txBody>
      </xdr:sp>
      <xdr:sp macro="" textlink="">
        <xdr:nvSpPr>
          <xdr:cNvPr id="31" name="TextBox 30">
            <a:extLst>
              <a:ext uri="{FF2B5EF4-FFF2-40B4-BE49-F238E27FC236}">
                <a16:creationId xmlns:a16="http://schemas.microsoft.com/office/drawing/2014/main" id="{A1A91A06-7835-4911-AE66-9940F46F42B7}"/>
              </a:ext>
            </a:extLst>
          </xdr:cNvPr>
          <xdr:cNvSpPr txBox="1"/>
        </xdr:nvSpPr>
        <xdr:spPr>
          <a:xfrm>
            <a:off x="10721340" y="1348740"/>
            <a:ext cx="1242060" cy="50292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Priya Kapoor Computer Science </a:t>
            </a:r>
          </a:p>
        </xdr:txBody>
      </xdr:sp>
      <xdr:sp macro="" textlink="">
        <xdr:nvSpPr>
          <xdr:cNvPr id="32" name="TextBox 31">
            <a:extLst>
              <a:ext uri="{FF2B5EF4-FFF2-40B4-BE49-F238E27FC236}">
                <a16:creationId xmlns:a16="http://schemas.microsoft.com/office/drawing/2014/main" id="{26857BEB-D3F9-4707-925D-94AE194D2EC1}"/>
              </a:ext>
            </a:extLst>
          </xdr:cNvPr>
          <xdr:cNvSpPr txBox="1"/>
        </xdr:nvSpPr>
        <xdr:spPr>
          <a:xfrm>
            <a:off x="2293620" y="4274820"/>
            <a:ext cx="116586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Arjun Mehta English </a:t>
            </a:r>
          </a:p>
        </xdr:txBody>
      </xdr:sp>
      <xdr:sp macro="" textlink="">
        <xdr:nvSpPr>
          <xdr:cNvPr id="33" name="TextBox 32">
            <a:extLst>
              <a:ext uri="{FF2B5EF4-FFF2-40B4-BE49-F238E27FC236}">
                <a16:creationId xmlns:a16="http://schemas.microsoft.com/office/drawing/2014/main" id="{1225524E-A807-4B49-8F6A-CB939308CA7E}"/>
              </a:ext>
            </a:extLst>
          </xdr:cNvPr>
          <xdr:cNvSpPr txBox="1"/>
        </xdr:nvSpPr>
        <xdr:spPr>
          <a:xfrm>
            <a:off x="4983480" y="1333500"/>
            <a:ext cx="117348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Rohan Verma Science</a:t>
            </a:r>
          </a:p>
        </xdr:txBody>
      </xdr:sp>
      <xdr:sp macro="" textlink="">
        <xdr:nvSpPr>
          <xdr:cNvPr id="34" name="TextBox 33">
            <a:extLst>
              <a:ext uri="{FF2B5EF4-FFF2-40B4-BE49-F238E27FC236}">
                <a16:creationId xmlns:a16="http://schemas.microsoft.com/office/drawing/2014/main" id="{D3ADDF72-E07D-4CD9-996F-830D64B778AC}"/>
              </a:ext>
            </a:extLst>
          </xdr:cNvPr>
          <xdr:cNvSpPr txBox="1"/>
        </xdr:nvSpPr>
        <xdr:spPr>
          <a:xfrm>
            <a:off x="5036820" y="2781300"/>
            <a:ext cx="118110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Neha Gupta</a:t>
            </a:r>
          </a:p>
          <a:p>
            <a:pPr marL="0" indent="0" algn="ctr"/>
            <a:r>
              <a:rPr lang="en-IN" sz="1100" b="1" i="0" u="none" strike="noStrike">
                <a:solidFill>
                  <a:schemeClr val="dk1"/>
                </a:solidFill>
                <a:effectLst/>
                <a:latin typeface="+mn-lt"/>
                <a:ea typeface="+mn-ea"/>
                <a:cs typeface="+mn-cs"/>
              </a:rPr>
              <a:t>Business Studies </a:t>
            </a:r>
          </a:p>
        </xdr:txBody>
      </xdr:sp>
      <xdr:sp macro="" textlink="">
        <xdr:nvSpPr>
          <xdr:cNvPr id="35" name="TextBox 34">
            <a:extLst>
              <a:ext uri="{FF2B5EF4-FFF2-40B4-BE49-F238E27FC236}">
                <a16:creationId xmlns:a16="http://schemas.microsoft.com/office/drawing/2014/main" id="{314B74FE-19DA-41DA-9B75-121593600F0F}"/>
              </a:ext>
            </a:extLst>
          </xdr:cNvPr>
          <xdr:cNvSpPr txBox="1"/>
        </xdr:nvSpPr>
        <xdr:spPr>
          <a:xfrm>
            <a:off x="7848600" y="1348740"/>
            <a:ext cx="118872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Nitika</a:t>
            </a:r>
          </a:p>
          <a:p>
            <a:pPr marL="0" indent="0" algn="ctr"/>
            <a:r>
              <a:rPr lang="en-IN" sz="1100" b="1" i="0" u="none" strike="noStrike">
                <a:solidFill>
                  <a:schemeClr val="dk1"/>
                </a:solidFill>
                <a:effectLst/>
                <a:latin typeface="+mn-lt"/>
                <a:ea typeface="+mn-ea"/>
                <a:cs typeface="+mn-cs"/>
              </a:rPr>
              <a:t> Geography </a:t>
            </a:r>
          </a:p>
        </xdr:txBody>
      </xdr:sp>
      <xdr:sp macro="" textlink="">
        <xdr:nvSpPr>
          <xdr:cNvPr id="36" name="TextBox 35">
            <a:extLst>
              <a:ext uri="{FF2B5EF4-FFF2-40B4-BE49-F238E27FC236}">
                <a16:creationId xmlns:a16="http://schemas.microsoft.com/office/drawing/2014/main" id="{63C71EE7-32CF-4FFF-90B8-691F6033B4AC}"/>
              </a:ext>
            </a:extLst>
          </xdr:cNvPr>
          <xdr:cNvSpPr txBox="1"/>
        </xdr:nvSpPr>
        <xdr:spPr>
          <a:xfrm>
            <a:off x="2308860" y="2781300"/>
            <a:ext cx="116586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Vikram Joshi </a:t>
            </a:r>
          </a:p>
          <a:p>
            <a:pPr marL="0" indent="0" algn="ctr"/>
            <a:r>
              <a:rPr lang="en-IN" sz="1100" b="1" i="0" u="none" strike="noStrike">
                <a:solidFill>
                  <a:schemeClr val="dk1"/>
                </a:solidFill>
                <a:effectLst/>
                <a:latin typeface="+mn-lt"/>
                <a:ea typeface="+mn-ea"/>
                <a:cs typeface="+mn-cs"/>
              </a:rPr>
              <a:t>History </a:t>
            </a:r>
          </a:p>
        </xdr:txBody>
      </xdr:sp>
      <xdr:sp macro="" textlink="">
        <xdr:nvSpPr>
          <xdr:cNvPr id="37" name="TextBox 36">
            <a:extLst>
              <a:ext uri="{FF2B5EF4-FFF2-40B4-BE49-F238E27FC236}">
                <a16:creationId xmlns:a16="http://schemas.microsoft.com/office/drawing/2014/main" id="{0A3A04F9-EE29-4BFF-BC27-6D84AE8A4905}"/>
              </a:ext>
            </a:extLst>
          </xdr:cNvPr>
          <xdr:cNvSpPr txBox="1"/>
        </xdr:nvSpPr>
        <xdr:spPr>
          <a:xfrm>
            <a:off x="7863840" y="2811780"/>
            <a:ext cx="121158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Rahul Nair </a:t>
            </a:r>
          </a:p>
          <a:p>
            <a:pPr marL="0" indent="0" algn="ctr"/>
            <a:r>
              <a:rPr lang="en-IN" sz="1100" b="1" i="0" u="none" strike="noStrike">
                <a:solidFill>
                  <a:schemeClr val="dk1"/>
                </a:solidFill>
                <a:effectLst/>
                <a:latin typeface="+mn-lt"/>
                <a:ea typeface="+mn-ea"/>
                <a:cs typeface="+mn-cs"/>
              </a:rPr>
              <a:t>Music </a:t>
            </a:r>
          </a:p>
        </xdr:txBody>
      </xdr:sp>
      <xdr:sp macro="" textlink="">
        <xdr:nvSpPr>
          <xdr:cNvPr id="38" name="TextBox 37">
            <a:extLst>
              <a:ext uri="{FF2B5EF4-FFF2-40B4-BE49-F238E27FC236}">
                <a16:creationId xmlns:a16="http://schemas.microsoft.com/office/drawing/2014/main" id="{1AA0D630-E1AA-4ECE-A9CA-917F6F9BECA3}"/>
              </a:ext>
            </a:extLst>
          </xdr:cNvPr>
          <xdr:cNvSpPr txBox="1"/>
        </xdr:nvSpPr>
        <xdr:spPr>
          <a:xfrm>
            <a:off x="5067300" y="4251960"/>
            <a:ext cx="118872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Karan Patel Economics </a:t>
            </a:r>
          </a:p>
        </xdr:txBody>
      </xdr:sp>
      <xdr:sp macro="" textlink="">
        <xdr:nvSpPr>
          <xdr:cNvPr id="40" name="TextBox 39">
            <a:extLst>
              <a:ext uri="{FF2B5EF4-FFF2-40B4-BE49-F238E27FC236}">
                <a16:creationId xmlns:a16="http://schemas.microsoft.com/office/drawing/2014/main" id="{4F954F4F-F774-4050-8861-EB4544B48DC4}"/>
              </a:ext>
            </a:extLst>
          </xdr:cNvPr>
          <xdr:cNvSpPr txBox="1"/>
        </xdr:nvSpPr>
        <xdr:spPr>
          <a:xfrm>
            <a:off x="10721340" y="2811780"/>
            <a:ext cx="115824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Jivani</a:t>
            </a:r>
          </a:p>
          <a:p>
            <a:pPr marL="0" indent="0" algn="ctr"/>
            <a:r>
              <a:rPr lang="en-IN" sz="1100" b="1" i="0" u="none" strike="noStrike">
                <a:solidFill>
                  <a:schemeClr val="dk1"/>
                </a:solidFill>
                <a:effectLst/>
                <a:latin typeface="+mn-lt"/>
                <a:ea typeface="+mn-ea"/>
                <a:cs typeface="+mn-cs"/>
              </a:rPr>
              <a:t>Chemistry</a:t>
            </a:r>
          </a:p>
        </xdr:txBody>
      </xdr:sp>
      <xdr:sp macro="" textlink="">
        <xdr:nvSpPr>
          <xdr:cNvPr id="41" name="TextBox 40">
            <a:extLst>
              <a:ext uri="{FF2B5EF4-FFF2-40B4-BE49-F238E27FC236}">
                <a16:creationId xmlns:a16="http://schemas.microsoft.com/office/drawing/2014/main" id="{124AF634-6ED0-4C03-A53D-99E2377AC4B4}"/>
              </a:ext>
            </a:extLst>
          </xdr:cNvPr>
          <xdr:cNvSpPr txBox="1"/>
        </xdr:nvSpPr>
        <xdr:spPr>
          <a:xfrm>
            <a:off x="10721340" y="4259580"/>
            <a:ext cx="1196340" cy="480060"/>
          </a:xfrm>
          <a:prstGeom prst="rect">
            <a:avLst/>
          </a:prstGeom>
          <a:solidFill>
            <a:schemeClr val="tx2">
              <a:lumMod val="20000"/>
              <a:lumOff val="8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1" i="0" u="none" strike="noStrike">
                <a:solidFill>
                  <a:schemeClr val="dk1"/>
                </a:solidFill>
                <a:effectLst/>
                <a:latin typeface="+mn-lt"/>
                <a:ea typeface="+mn-ea"/>
                <a:cs typeface="+mn-cs"/>
              </a:rPr>
              <a:t>Yesh</a:t>
            </a:r>
          </a:p>
          <a:p>
            <a:pPr marL="0" indent="0" algn="ctr"/>
            <a:r>
              <a:rPr lang="en-IN" sz="1100" b="1" i="0" u="none" strike="noStrike">
                <a:solidFill>
                  <a:schemeClr val="dk1"/>
                </a:solidFill>
                <a:effectLst/>
                <a:latin typeface="+mn-lt"/>
                <a:ea typeface="+mn-ea"/>
                <a:cs typeface="+mn-cs"/>
              </a:rPr>
              <a:t>Physics</a:t>
            </a:r>
          </a:p>
        </xdr:txBody>
      </xdr:sp>
      <xdr:pic>
        <xdr:nvPicPr>
          <xdr:cNvPr id="43" name="Picture 42" descr="Young woman using a tablet">
            <a:extLst>
              <a:ext uri="{FF2B5EF4-FFF2-40B4-BE49-F238E27FC236}">
                <a16:creationId xmlns:a16="http://schemas.microsoft.com/office/drawing/2014/main" id="{07113565-3836-DC89-978E-6DFA87F5D768}"/>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30953" t="6316" r="-1905" b="10000"/>
          <a:stretch>
            <a:fillRect/>
          </a:stretch>
        </xdr:blipFill>
        <xdr:spPr>
          <a:xfrm>
            <a:off x="6705600" y="3741420"/>
            <a:ext cx="1036320" cy="1036320"/>
          </a:xfrm>
          <a:prstGeom prst="flowChartConnector">
            <a:avLst/>
          </a:prstGeom>
          <a:ln>
            <a:solidFill>
              <a:schemeClr val="tx1">
                <a:lumMod val="95000"/>
                <a:lumOff val="5000"/>
              </a:schemeClr>
            </a:solidFill>
          </a:ln>
        </xdr:spPr>
      </xdr:pic>
      <xdr:pic>
        <xdr:nvPicPr>
          <xdr:cNvPr id="45" name="Picture 44" descr="Old woman holding books">
            <a:extLst>
              <a:ext uri="{FF2B5EF4-FFF2-40B4-BE49-F238E27FC236}">
                <a16:creationId xmlns:a16="http://schemas.microsoft.com/office/drawing/2014/main" id="{21DCD194-CADD-5B2D-AEC2-1C1E421A088E}"/>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r="22959"/>
          <a:stretch>
            <a:fillRect/>
          </a:stretch>
        </xdr:blipFill>
        <xdr:spPr>
          <a:xfrm>
            <a:off x="9532620" y="2209800"/>
            <a:ext cx="1074420" cy="1066800"/>
          </a:xfrm>
          <a:prstGeom prst="flowChartConnector">
            <a:avLst/>
          </a:prstGeom>
          <a:ln>
            <a:solidFill>
              <a:schemeClr val="tx1">
                <a:lumMod val="95000"/>
                <a:lumOff val="5000"/>
              </a:schemeClr>
            </a:solidFill>
          </a:ln>
        </xdr:spPr>
      </xdr:pic>
      <xdr:pic>
        <xdr:nvPicPr>
          <xdr:cNvPr id="47" name="Picture 46" descr="Man in a library">
            <a:extLst>
              <a:ext uri="{FF2B5EF4-FFF2-40B4-BE49-F238E27FC236}">
                <a16:creationId xmlns:a16="http://schemas.microsoft.com/office/drawing/2014/main" id="{D0C94C6C-8F13-021E-50DE-486890C92F9E}"/>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9502" t="9947" r="14176"/>
          <a:stretch>
            <a:fillRect/>
          </a:stretch>
        </xdr:blipFill>
        <xdr:spPr>
          <a:xfrm>
            <a:off x="9517380" y="3657600"/>
            <a:ext cx="1066800" cy="1066799"/>
          </a:xfrm>
          <a:prstGeom prst="flowChartConnector">
            <a:avLst/>
          </a:prstGeom>
          <a:ln>
            <a:solidFill>
              <a:schemeClr val="tx1">
                <a:lumMod val="95000"/>
                <a:lumOff val="5000"/>
              </a:schemeClr>
            </a:solidFill>
          </a:ln>
        </xdr:spPr>
      </xdr:pic>
      <xdr:sp macro="" textlink="">
        <xdr:nvSpPr>
          <xdr:cNvPr id="3" name="Rectangle 2">
            <a:extLst>
              <a:ext uri="{FF2B5EF4-FFF2-40B4-BE49-F238E27FC236}">
                <a16:creationId xmlns:a16="http://schemas.microsoft.com/office/drawing/2014/main" id="{F68FECDC-71B3-BDDE-EFB6-5C2CAE3B9A8A}"/>
              </a:ext>
            </a:extLst>
          </xdr:cNvPr>
          <xdr:cNvSpPr/>
        </xdr:nvSpPr>
        <xdr:spPr>
          <a:xfrm>
            <a:off x="4099560" y="205740"/>
            <a:ext cx="541782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 Our Faculty</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502920</xdr:colOff>
      <xdr:row>3</xdr:row>
      <xdr:rowOff>160020</xdr:rowOff>
    </xdr:from>
    <xdr:to>
      <xdr:col>18</xdr:col>
      <xdr:colOff>556260</xdr:colOff>
      <xdr:row>6</xdr:row>
      <xdr:rowOff>175260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5D13D67E-B819-D300-4F07-4E665F7AB1B9}"/>
            </a:ext>
          </a:extLst>
        </xdr:cNvPr>
        <xdr:cNvSpPr/>
      </xdr:nvSpPr>
      <xdr:spPr>
        <a:xfrm>
          <a:off x="12237720" y="525780"/>
          <a:ext cx="1272540" cy="56388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1">
              <a:solidFill>
                <a:schemeClr val="tx2">
                  <a:lumMod val="50000"/>
                </a:schemeClr>
              </a:solidFill>
              <a:effectLst/>
              <a:latin typeface="+mn-lt"/>
              <a:ea typeface="+mn-ea"/>
              <a:cs typeface="+mn-cs"/>
            </a:rPr>
            <a:t>👉 Back to Dashboard</a:t>
          </a:r>
          <a:endParaRPr lang="en-IN" sz="1400" b="1" i="1">
            <a:solidFill>
              <a:schemeClr val="tx2">
                <a:lumMod val="50000"/>
              </a:schemeClr>
            </a:solidFill>
            <a:effectLst/>
          </a:endParaRPr>
        </a:p>
        <a:p>
          <a:pPr algn="ctr"/>
          <a:endParaRPr lang="en-IN" sz="1800" b="1" i="1">
            <a:solidFill>
              <a:schemeClr val="tx2">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579120</xdr:colOff>
      <xdr:row>0</xdr:row>
      <xdr:rowOff>289560</xdr:rowOff>
    </xdr:from>
    <xdr:to>
      <xdr:col>19</xdr:col>
      <xdr:colOff>106680</xdr:colOff>
      <xdr:row>4</xdr:row>
      <xdr:rowOff>68580</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8A2DFFCB-C105-E1AD-AC41-739901DBD0B8}"/>
            </a:ext>
          </a:extLst>
        </xdr:cNvPr>
        <xdr:cNvSpPr/>
      </xdr:nvSpPr>
      <xdr:spPr>
        <a:xfrm>
          <a:off x="12641580" y="289560"/>
          <a:ext cx="1356360" cy="6248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1">
              <a:solidFill>
                <a:schemeClr val="tx2">
                  <a:lumMod val="50000"/>
                </a:schemeClr>
              </a:solidFill>
            </a:rPr>
            <a:t>👉 Back to Dashboard </a:t>
          </a:r>
        </a:p>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30480</xdr:colOff>
      <xdr:row>2</xdr:row>
      <xdr:rowOff>7620</xdr:rowOff>
    </xdr:from>
    <xdr:to>
      <xdr:col>19</xdr:col>
      <xdr:colOff>129540</xdr:colOff>
      <xdr:row>5</xdr:row>
      <xdr:rowOff>22860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7BD24200-D39C-F6D1-3BFC-C17492E287C7}"/>
            </a:ext>
          </a:extLst>
        </xdr:cNvPr>
        <xdr:cNvSpPr/>
      </xdr:nvSpPr>
      <xdr:spPr>
        <a:xfrm>
          <a:off x="12374880" y="190500"/>
          <a:ext cx="1318260" cy="56388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1">
              <a:solidFill>
                <a:schemeClr val="tx2">
                  <a:lumMod val="50000"/>
                </a:schemeClr>
              </a:solidFill>
            </a:rPr>
            <a:t>👉 Back to Dashboard </a:t>
          </a:r>
        </a:p>
        <a:p>
          <a:pPr algn="ctr"/>
          <a:endParaRPr lang="en-IN" sz="1200" b="1" i="1">
            <a:solidFill>
              <a:schemeClr val="tx2">
                <a:lumMod val="5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594360</xdr:colOff>
      <xdr:row>2</xdr:row>
      <xdr:rowOff>83820</xdr:rowOff>
    </xdr:from>
    <xdr:to>
      <xdr:col>19</xdr:col>
      <xdr:colOff>228600</xdr:colOff>
      <xdr:row>6</xdr:row>
      <xdr:rowOff>15240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D5F0C80-B6D5-F8B4-C032-0066290693CC}"/>
            </a:ext>
          </a:extLst>
        </xdr:cNvPr>
        <xdr:cNvSpPr/>
      </xdr:nvSpPr>
      <xdr:spPr>
        <a:xfrm>
          <a:off x="12329160" y="266700"/>
          <a:ext cx="1463040" cy="6629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a:solidFill>
                <a:schemeClr val="tx2">
                  <a:lumMod val="50000"/>
                </a:schemeClr>
              </a:solidFill>
            </a:rPr>
            <a:t>👉 Back to Dashboard </a:t>
          </a:r>
        </a:p>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17</xdr:col>
      <xdr:colOff>106680</xdr:colOff>
      <xdr:row>2</xdr:row>
      <xdr:rowOff>91440</xdr:rowOff>
    </xdr:from>
    <xdr:to>
      <xdr:col>19</xdr:col>
      <xdr:colOff>144780</xdr:colOff>
      <xdr:row>5</xdr:row>
      <xdr:rowOff>167640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276E2CC-30C4-228C-9567-330CE418CFA6}"/>
            </a:ext>
          </a:extLst>
        </xdr:cNvPr>
        <xdr:cNvSpPr/>
      </xdr:nvSpPr>
      <xdr:spPr>
        <a:xfrm>
          <a:off x="12451080" y="274320"/>
          <a:ext cx="1257300" cy="6248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a:solidFill>
                <a:schemeClr val="tx2">
                  <a:lumMod val="50000"/>
                </a:schemeClr>
              </a:solidFill>
            </a:rPr>
            <a:t>👉 Back to Dashboard </a:t>
          </a:r>
        </a:p>
        <a:p>
          <a:pPr algn="l"/>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129540</xdr:colOff>
      <xdr:row>0</xdr:row>
      <xdr:rowOff>15240</xdr:rowOff>
    </xdr:from>
    <xdr:to>
      <xdr:col>15</xdr:col>
      <xdr:colOff>350520</xdr:colOff>
      <xdr:row>2</xdr:row>
      <xdr:rowOff>99060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6706A980-0CEE-D5E6-99F8-F77D9A4C9418}"/>
            </a:ext>
          </a:extLst>
        </xdr:cNvPr>
        <xdr:cNvSpPr/>
      </xdr:nvSpPr>
      <xdr:spPr>
        <a:xfrm>
          <a:off x="11711940" y="15240"/>
          <a:ext cx="1440180" cy="57912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solidFill>
                <a:schemeClr val="tx2">
                  <a:lumMod val="50000"/>
                </a:schemeClr>
              </a:solidFill>
            </a:rPr>
            <a:t>👉 Back to Dashboard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472440</xdr:colOff>
      <xdr:row>1</xdr:row>
      <xdr:rowOff>15240</xdr:rowOff>
    </xdr:from>
    <xdr:to>
      <xdr:col>11</xdr:col>
      <xdr:colOff>297180</xdr:colOff>
      <xdr:row>14</xdr:row>
      <xdr:rowOff>259080</xdr:rowOff>
    </xdr:to>
    <xdr:graphicFrame macro="">
      <xdr:nvGraphicFramePr>
        <xdr:cNvPr id="2" name="Chart 2">
          <a:extLst>
            <a:ext uri="{FF2B5EF4-FFF2-40B4-BE49-F238E27FC236}">
              <a16:creationId xmlns:a16="http://schemas.microsoft.com/office/drawing/2014/main" id="{5D21341D-0098-80B9-E915-6B2CD7666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579120</xdr:colOff>
      <xdr:row>1</xdr:row>
      <xdr:rowOff>114300</xdr:rowOff>
    </xdr:from>
    <xdr:to>
      <xdr:col>18</xdr:col>
      <xdr:colOff>7620</xdr:colOff>
      <xdr:row>3</xdr:row>
      <xdr:rowOff>205740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958A32D7-AB49-40E4-9899-1C2394825786}"/>
            </a:ext>
          </a:extLst>
        </xdr:cNvPr>
        <xdr:cNvSpPr/>
      </xdr:nvSpPr>
      <xdr:spPr>
        <a:xfrm>
          <a:off x="12458700" y="297180"/>
          <a:ext cx="1257300" cy="62484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a:solidFill>
                <a:schemeClr val="tx2">
                  <a:lumMod val="50000"/>
                </a:schemeClr>
              </a:solidFill>
              <a:latin typeface="+mn-lt"/>
              <a:ea typeface="+mn-ea"/>
              <a:cs typeface="+mn-cs"/>
            </a:rPr>
            <a:t>👉 Back to Dashboard </a:t>
          </a:r>
        </a:p>
        <a:p>
          <a:pPr marL="0" indent="0" algn="l"/>
          <a:endParaRPr lang="en-IN" sz="1600" b="1" i="1">
            <a:solidFill>
              <a:schemeClr val="tx2">
                <a:lumMod val="50000"/>
              </a:schemeClr>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304800</xdr:colOff>
      <xdr:row>1</xdr:row>
      <xdr:rowOff>83820</xdr:rowOff>
    </xdr:from>
    <xdr:to>
      <xdr:col>17</xdr:col>
      <xdr:colOff>7620</xdr:colOff>
      <xdr:row>3</xdr:row>
      <xdr:rowOff>190500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45BCDD5E-F8F9-019D-4FD4-99FDDF01D721}"/>
            </a:ext>
          </a:extLst>
        </xdr:cNvPr>
        <xdr:cNvSpPr/>
      </xdr:nvSpPr>
      <xdr:spPr>
        <a:xfrm>
          <a:off x="10942320" y="83820"/>
          <a:ext cx="1531620" cy="701040"/>
        </a:xfrm>
        <a:prstGeom prst="rect">
          <a:avLst/>
        </a:prstGeom>
        <a:solidFill>
          <a:schemeClr val="accent5">
            <a:lumMod val="20000"/>
            <a:lumOff val="80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u="none">
              <a:solidFill>
                <a:schemeClr val="tx2">
                  <a:lumMod val="50000"/>
                </a:schemeClr>
              </a:solidFill>
            </a:rPr>
            <a:t>👉 Back to Dashboard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608753</xdr:colOff>
      <xdr:row>0</xdr:row>
      <xdr:rowOff>72814</xdr:rowOff>
    </xdr:from>
    <xdr:to>
      <xdr:col>17</xdr:col>
      <xdr:colOff>155786</xdr:colOff>
      <xdr:row>3</xdr:row>
      <xdr:rowOff>59268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420D8122-E10D-448B-89E9-0BCC8CDEC5D2}"/>
            </a:ext>
          </a:extLst>
        </xdr:cNvPr>
        <xdr:cNvSpPr/>
      </xdr:nvSpPr>
      <xdr:spPr>
        <a:xfrm>
          <a:off x="14189286" y="72814"/>
          <a:ext cx="1375833" cy="63838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a:solidFill>
                <a:schemeClr val="tx2">
                  <a:lumMod val="50000"/>
                </a:schemeClr>
              </a:solidFill>
            </a:rPr>
            <a:t>👉 Back to Dashboard </a:t>
          </a:r>
        </a:p>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ka tyagi" refreshedDate="46119.540833449071" createdVersion="8" refreshedVersion="8" minRefreshableVersion="3" recordCount="20" xr:uid="{CAC97D84-CBA5-4208-AEFC-C041D2162F69}">
  <cacheSource type="worksheet">
    <worksheetSource name="Table2"/>
  </cacheSource>
  <cacheFields count="8">
    <cacheField name="Course ID" numFmtId="0">
      <sharedItems/>
    </cacheField>
    <cacheField name="Course Name" numFmtId="0">
      <sharedItems/>
    </cacheField>
    <cacheField name="Year" numFmtId="0">
      <sharedItems containsSemiMixedTypes="0" containsString="0" containsNumber="1" containsInteger="1" minValue="2025" maxValue="2025"/>
    </cacheField>
    <cacheField name="Semester" numFmtId="0">
      <sharedItems/>
    </cacheField>
    <cacheField name="Activities" numFmtId="0">
      <sharedItems/>
    </cacheField>
    <cacheField name="Due Date" numFmtId="14">
      <sharedItems containsSemiMixedTypes="0" containsNonDate="0" containsDate="1" containsString="0" minDate="2025-01-15T00:00:00" maxDate="2025-12-26T00:00:00"/>
    </cacheField>
    <cacheField name="Month" numFmtId="0">
      <sharedItems containsBlank="1" count="13">
        <s v="Jan"/>
        <s v="Feb"/>
        <s v="Mar"/>
        <s v="Apr"/>
        <s v="Jun"/>
        <s v="May"/>
        <s v="Aug"/>
        <s v="Sep"/>
        <s v="Nov"/>
        <s v="Dec"/>
        <s v="Jul" u="1"/>
        <s v="Oct" u="1"/>
        <m u="1"/>
      </sharedItems>
    </cacheField>
    <cacheField name="Status " numFmtId="0">
      <sharedItems count="2">
        <s v="Completed"/>
        <s v="Pending"/>
      </sharedItems>
    </cacheField>
  </cacheFields>
  <extLst>
    <ext xmlns:x14="http://schemas.microsoft.com/office/spreadsheetml/2009/9/main" uri="{725AE2AE-9491-48be-B2B4-4EB974FC3084}">
      <x14:pivotCacheDefinition pivotCacheId="1351291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WR121"/>
    <s v="Writing Composition"/>
    <n v="2025"/>
    <s v="Spring"/>
    <s v="Quiz #1"/>
    <d v="2025-01-15T00:00:00"/>
    <x v="0"/>
    <x v="0"/>
  </r>
  <r>
    <s v="CS120"/>
    <s v="Intro to Computer"/>
    <n v="2025"/>
    <s v="Spring"/>
    <s v="Assignment #1"/>
    <d v="2025-01-25T00:00:00"/>
    <x v="0"/>
    <x v="0"/>
  </r>
  <r>
    <s v="MTH101"/>
    <s v="Mathematics"/>
    <n v="2025"/>
    <s v="Spring"/>
    <s v="Class Test"/>
    <d v="2025-02-15T00:00:00"/>
    <x v="1"/>
    <x v="0"/>
  </r>
  <r>
    <s v="SCI201"/>
    <s v="Science"/>
    <n v="2025"/>
    <s v="Spring"/>
    <s v="Lab Practical"/>
    <d v="2025-03-05T00:00:00"/>
    <x v="2"/>
    <x v="0"/>
  </r>
  <r>
    <s v="ENG101"/>
    <s v="English"/>
    <n v="2025"/>
    <s v="Spring"/>
    <s v="Essay Submission"/>
    <d v="2025-03-10T00:00:00"/>
    <x v="2"/>
    <x v="0"/>
  </r>
  <r>
    <s v="BUS301"/>
    <s v="Business Studies"/>
    <n v="2025"/>
    <s v="Spring"/>
    <s v="Project Work"/>
    <d v="2025-03-05T00:00:00"/>
    <x v="2"/>
    <x v="0"/>
  </r>
  <r>
    <s v="ECO101"/>
    <s v="Economics"/>
    <n v="2025"/>
    <s v="Spring"/>
    <s v="Case Study"/>
    <d v="2025-04-10T00:00:00"/>
    <x v="3"/>
    <x v="0"/>
  </r>
  <r>
    <s v="GEO201"/>
    <s v="Geography"/>
    <n v="2025"/>
    <s v="Spring"/>
    <s v="Map Work"/>
    <d v="2025-04-22T00:00:00"/>
    <x v="3"/>
    <x v="0"/>
  </r>
  <r>
    <s v="MUS101"/>
    <s v="Music"/>
    <n v="2025"/>
    <s v="Spring"/>
    <s v="Performance"/>
    <d v="2025-06-28T00:00:00"/>
    <x v="4"/>
    <x v="0"/>
  </r>
  <r>
    <s v="ART101"/>
    <s v="Art"/>
    <n v="2025"/>
    <s v="Spring"/>
    <s v="Drawing Submission"/>
    <d v="2025-05-20T00:00:00"/>
    <x v="5"/>
    <x v="0"/>
  </r>
  <r>
    <s v="CSC101"/>
    <s v="Computer Science"/>
    <n v="2025"/>
    <s v="Spring"/>
    <s v="Practical Exam"/>
    <d v="2025-06-10T00:00:00"/>
    <x v="4"/>
    <x v="0"/>
  </r>
  <r>
    <s v="CHE101"/>
    <s v="Chemistry"/>
    <n v="2025"/>
    <s v="Spring"/>
    <s v="Lab Test"/>
    <d v="2025-06-25T00:00:00"/>
    <x v="4"/>
    <x v="0"/>
  </r>
  <r>
    <s v="PHY101"/>
    <s v="Physics"/>
    <n v="2025"/>
    <s v="Spring"/>
    <s v="Numerical Test"/>
    <d v="2025-08-10T00:00:00"/>
    <x v="6"/>
    <x v="1"/>
  </r>
  <r>
    <s v="WR121"/>
    <s v="Writing Composition"/>
    <n v="2025"/>
    <s v="Spring"/>
    <s v="Mid Term Exam"/>
    <d v="2025-08-15T00:00:00"/>
    <x v="6"/>
    <x v="1"/>
  </r>
  <r>
    <s v="CS120"/>
    <s v="Intro to Computer"/>
    <n v="2025"/>
    <s v="Spring"/>
    <s v="Project Submission"/>
    <d v="2025-08-20T00:00:00"/>
    <x v="6"/>
    <x v="1"/>
  </r>
  <r>
    <s v="MTH101"/>
    <s v="Mathematics"/>
    <n v="2025"/>
    <s v="Spring"/>
    <s v="Class Test"/>
    <d v="2025-08-28T00:00:00"/>
    <x v="6"/>
    <x v="1"/>
  </r>
  <r>
    <s v="SCI201"/>
    <s v="Science"/>
    <n v="2025"/>
    <s v="Spring"/>
    <s v="Practical Exam"/>
    <d v="2025-09-10T00:00:00"/>
    <x v="7"/>
    <x v="1"/>
  </r>
  <r>
    <s v="ENG101"/>
    <s v="English"/>
    <n v="2025"/>
    <s v="Spring"/>
    <s v="Presentation"/>
    <d v="2025-09-25T00:00:00"/>
    <x v="7"/>
    <x v="1"/>
  </r>
  <r>
    <s v="BUS301"/>
    <s v="Business Studies"/>
    <n v="2025"/>
    <s v="Spring"/>
    <s v="Final Project"/>
    <d v="2025-11-10T00:00:00"/>
    <x v="8"/>
    <x v="1"/>
  </r>
  <r>
    <s v="ECO101"/>
    <s v="Economics"/>
    <n v="2025"/>
    <s v="Spring"/>
    <s v="Final Exam"/>
    <d v="2025-12-25T00:00:00"/>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BB8542-6567-421D-BB48-0A8873FFA790}" name="PivotTable7"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rowHeaderCaption="Months">
  <location ref="A3:C15" firstHeaderRow="1" firstDataRow="2" firstDataCol="1"/>
  <pivotFields count="8">
    <pivotField showAll="0"/>
    <pivotField showAll="0"/>
    <pivotField showAll="0"/>
    <pivotField showAll="0"/>
    <pivotField dataField="1" showAll="0"/>
    <pivotField showAll="0"/>
    <pivotField axis="axisRow" showAll="0">
      <items count="14">
        <item x="0"/>
        <item x="1"/>
        <item x="2"/>
        <item x="3"/>
        <item x="5"/>
        <item x="4"/>
        <item m="1" x="10"/>
        <item x="6"/>
        <item x="7"/>
        <item m="1" x="11"/>
        <item m="1" x="12"/>
        <item x="8"/>
        <item x="9"/>
        <item t="default"/>
      </items>
    </pivotField>
    <pivotField axis="axisCol" showAll="0">
      <items count="3">
        <item x="0"/>
        <item x="1"/>
        <item t="default"/>
      </items>
    </pivotField>
  </pivotFields>
  <rowFields count="1">
    <field x="6"/>
  </rowFields>
  <rowItems count="11">
    <i>
      <x/>
    </i>
    <i>
      <x v="1"/>
    </i>
    <i>
      <x v="2"/>
    </i>
    <i>
      <x v="3"/>
    </i>
    <i>
      <x v="4"/>
    </i>
    <i>
      <x v="5"/>
    </i>
    <i>
      <x v="7"/>
    </i>
    <i>
      <x v="8"/>
    </i>
    <i>
      <x v="11"/>
    </i>
    <i>
      <x v="12"/>
    </i>
    <i t="grand">
      <x/>
    </i>
  </rowItems>
  <colFields count="1">
    <field x="7"/>
  </colFields>
  <colItems count="2">
    <i>
      <x/>
    </i>
    <i>
      <x v="1"/>
    </i>
  </colItems>
  <dataFields count="1">
    <dataField name="Count of Activities" fld="4" subtotal="count" baseField="0" baseItem="0"/>
  </dataFields>
  <formats count="30">
    <format dxfId="69">
      <pivotArea type="all" dataOnly="0" outline="0" fieldPosition="0"/>
    </format>
    <format dxfId="68">
      <pivotArea outline="0" collapsedLevelsAreSubtotals="1" fieldPosition="0"/>
    </format>
    <format dxfId="67">
      <pivotArea type="origin" dataOnly="0" labelOnly="1" outline="0" fieldPosition="0"/>
    </format>
    <format dxfId="66">
      <pivotArea field="7" type="button" dataOnly="0" labelOnly="1" outline="0" axis="axisCol" fieldPosition="0"/>
    </format>
    <format dxfId="65">
      <pivotArea type="topRight" dataOnly="0" labelOnly="1" outline="0" fieldPosition="0"/>
    </format>
    <format dxfId="64">
      <pivotArea field="6" type="button" dataOnly="0" labelOnly="1" outline="0" axis="axisRow" fieldPosition="0"/>
    </format>
    <format dxfId="63">
      <pivotArea dataOnly="0" labelOnly="1" fieldPosition="0">
        <references count="1">
          <reference field="6" count="0"/>
        </references>
      </pivotArea>
    </format>
    <format dxfId="62">
      <pivotArea dataOnly="0" labelOnly="1" grandRow="1" outline="0" fieldPosition="0"/>
    </format>
    <format dxfId="61">
      <pivotArea dataOnly="0" labelOnly="1" fieldPosition="0">
        <references count="1">
          <reference field="7" count="0"/>
        </references>
      </pivotArea>
    </format>
    <format dxfId="60">
      <pivotArea dataOnly="0" labelOnly="1" grandCol="1" outline="0"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7" type="button" dataOnly="0" labelOnly="1" outline="0" axis="axisCol" fieldPosition="0"/>
    </format>
    <format dxfId="55">
      <pivotArea type="topRight" dataOnly="0" labelOnly="1" outline="0" fieldPosition="0"/>
    </format>
    <format dxfId="54">
      <pivotArea field="6" type="button" dataOnly="0" labelOnly="1" outline="0" axis="axisRow" fieldPosition="0"/>
    </format>
    <format dxfId="53">
      <pivotArea dataOnly="0" labelOnly="1" fieldPosition="0">
        <references count="1">
          <reference field="6" count="0"/>
        </references>
      </pivotArea>
    </format>
    <format dxfId="52">
      <pivotArea dataOnly="0" labelOnly="1" grandRow="1" outline="0" fieldPosition="0"/>
    </format>
    <format dxfId="51">
      <pivotArea dataOnly="0" labelOnly="1" fieldPosition="0">
        <references count="1">
          <reference field="7" count="0"/>
        </references>
      </pivotArea>
    </format>
    <format dxfId="50">
      <pivotArea dataOnly="0" labelOnly="1" grandCol="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7" type="button" dataOnly="0" labelOnly="1" outline="0" axis="axisCol" fieldPosition="0"/>
    </format>
    <format dxfId="45">
      <pivotArea type="topRight" dataOnly="0" labelOnly="1" outline="0" fieldPosition="0"/>
    </format>
    <format dxfId="44">
      <pivotArea field="6" type="button" dataOnly="0" labelOnly="1" outline="0" axis="axisRow" fieldPosition="0"/>
    </format>
    <format dxfId="43">
      <pivotArea dataOnly="0" labelOnly="1" fieldPosition="0">
        <references count="1">
          <reference field="6" count="0"/>
        </references>
      </pivotArea>
    </format>
    <format dxfId="42">
      <pivotArea dataOnly="0" labelOnly="1" grandRow="1" outline="0" fieldPosition="0"/>
    </format>
    <format dxfId="41">
      <pivotArea dataOnly="0" labelOnly="1" fieldPosition="0">
        <references count="1">
          <reference field="7" count="0"/>
        </references>
      </pivotArea>
    </format>
    <format dxfId="40">
      <pivotArea dataOnly="0" labelOnly="1" grandCol="1" outline="0" fieldPosition="0"/>
    </format>
  </formats>
  <chartFormats count="6">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7" count="1" selected="0">
            <x v="0"/>
          </reference>
        </references>
      </pivotArea>
    </chartFormat>
    <chartFormat chart="4" format="8" series="1">
      <pivotArea type="data" outline="0" fieldPosition="0">
        <references count="2">
          <reference field="4294967294" count="1" selected="0">
            <x v="0"/>
          </reference>
          <reference field="7" count="1" selected="0">
            <x v="1"/>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101246-C317-422D-AD5D-0344F2EAB22C}" sourceName="Month">
  <pivotTables>
    <pivotTable tabId="13" name="PivotTable7"/>
  </pivotTables>
  <data>
    <tabular pivotCacheId="1351291111">
      <items count="13">
        <i x="0" s="1"/>
        <i x="1" s="1"/>
        <i x="2" s="1"/>
        <i x="3" s="1"/>
        <i x="5" s="1"/>
        <i x="4" s="1"/>
        <i x="6" s="1"/>
        <i x="7" s="1"/>
        <i x="8" s="1"/>
        <i x="9" s="1"/>
        <i x="10" s="1" nd="1"/>
        <i x="11"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6E58D2E-2F48-4D4E-A5A0-ED12C6D4A2FB}" cache="Slicer_Month" caption="Month"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E1A291-4ACA-4C23-BF2C-2DA932D19936}" name="Table3" displayName="Table3" ref="A2:P32" totalsRowShown="0" dataDxfId="167">
  <tableColumns count="16">
    <tableColumn id="1" xr3:uid="{001548D1-A871-47B8-AE4D-4A50804B5286}" name="Student ID" dataDxfId="166"/>
    <tableColumn id="2" xr3:uid="{2C2213E0-A5AF-4FB1-B247-FF476BC4A896}" name="Name" dataDxfId="165"/>
    <tableColumn id="3" xr3:uid="{DF24103F-2AE3-43E5-A61E-7D7D8DF8BF9B}" name="Math" dataDxfId="164"/>
    <tableColumn id="4" xr3:uid="{3EEA3529-63F3-484D-A186-EE787B7B0A17}" name="Science" dataDxfId="163"/>
    <tableColumn id="5" xr3:uid="{8E57DFC2-5A90-4A56-9259-AE641ACC02A4}" name="History" dataDxfId="162"/>
    <tableColumn id="6" xr3:uid="{3FD160BB-F96A-4024-A552-733199B20EC3}" name="English" dataDxfId="161"/>
    <tableColumn id="7" xr3:uid="{6FA07D3B-8C9F-45FD-A293-0540278E2B96}" name="Business Studies" dataDxfId="160"/>
    <tableColumn id="8" xr3:uid="{DCB062BC-A8C2-45B5-94C1-023C8090C50D}" name="Economics" dataDxfId="159"/>
    <tableColumn id="9" xr3:uid="{97E9EF30-FF87-4DCF-9CAC-02E62962100C}" name="Geography" dataDxfId="158"/>
    <tableColumn id="10" xr3:uid="{713B3AD9-8D43-4029-B613-741E5F77E599}" name="Music" dataDxfId="157"/>
    <tableColumn id="11" xr3:uid="{FFA62EF0-CCFA-4AC8-BB17-0E59EA42F5C3}" name="Computer Science" dataDxfId="156"/>
    <tableColumn id="12" xr3:uid="{85E83FB0-CD37-4B71-8ED4-140CAD103DBB}" name="Art" dataDxfId="155"/>
    <tableColumn id="13" xr3:uid="{6B3F12C3-9963-4C2C-AC2F-5C9D4B3A9763}" name="Chemistry" dataDxfId="154"/>
    <tableColumn id="14" xr3:uid="{468173B0-BDEC-4566-A101-5CFD87EDA2BE}" name="Physics" dataDxfId="153"/>
    <tableColumn id="15" xr3:uid="{4224CC2B-3030-4B11-B8E0-30F1CD4D7C3F}" name="Total" dataDxfId="152">
      <calculatedColumnFormula>SUM(Table3[[#This Row],[Math]:[Physics]])</calculatedColumnFormula>
    </tableColumn>
    <tableColumn id="16" xr3:uid="{9D40AB62-CA60-45CA-8E0E-72DB8C50236F}" name="Percentage" dataDxfId="151">
      <calculatedColumnFormula>SUM(C3:N3)/1200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F548F9-C3E4-4D24-8C86-7E785D36403B}" name="Table5" displayName="Table5" ref="A2:P32" totalsRowShown="0" dataDxfId="150">
  <sortState xmlns:xlrd2="http://schemas.microsoft.com/office/spreadsheetml/2017/richdata2" ref="A3:P32">
    <sortCondition ref="A2:A32"/>
  </sortState>
  <tableColumns count="16">
    <tableColumn id="1" xr3:uid="{2DAAEBED-2A28-4F77-A104-C265ADCE7E60}" name="Student ID" dataDxfId="149"/>
    <tableColumn id="2" xr3:uid="{F11ADEEC-C012-44E7-9A8A-0FD7CD721657}" name="Name" dataDxfId="148"/>
    <tableColumn id="3" xr3:uid="{812C5DB0-F940-468C-B0BB-F7BAD05D542B}" name="Math" dataDxfId="147"/>
    <tableColumn id="4" xr3:uid="{806FD571-9AE5-4D08-A2F5-343FB4C961A6}" name="Science" dataDxfId="146"/>
    <tableColumn id="5" xr3:uid="{0D633FD6-01AE-4384-ACA1-603630F29B33}" name="History" dataDxfId="145"/>
    <tableColumn id="6" xr3:uid="{B7837ABB-B232-4329-80D2-6CB740C234F8}" name="English" dataDxfId="144"/>
    <tableColumn id="7" xr3:uid="{F9179839-AA46-4B6C-8F0A-1525922E9373}" name="Business Studies" dataDxfId="143"/>
    <tableColumn id="8" xr3:uid="{F5EBB3A9-2D6F-462E-B8DA-136390BBB2C2}" name="Economics" dataDxfId="142"/>
    <tableColumn id="9" xr3:uid="{7C40057D-543D-4349-8DE8-B382C85AAA75}" name="Geography" dataDxfId="141"/>
    <tableColumn id="10" xr3:uid="{6537FD73-88E4-4189-A430-672C0C84B2D8}" name="Music" dataDxfId="140"/>
    <tableColumn id="11" xr3:uid="{62555C77-678A-4245-8885-2527AE2ADDFC}" name="Computer Science" dataDxfId="139"/>
    <tableColumn id="12" xr3:uid="{5146EE6E-589D-4684-B1A9-8B915A7E6587}" name="Art" dataDxfId="138"/>
    <tableColumn id="13" xr3:uid="{742AC0D9-A15C-4229-A532-BD26A27CBF8F}" name="Chemistry" dataDxfId="137"/>
    <tableColumn id="14" xr3:uid="{4BFF5184-0CFD-41C7-A626-969F1D0FA378}" name="Physics" dataDxfId="136"/>
    <tableColumn id="15" xr3:uid="{90C438A5-094B-4C2C-B94C-CC29753B4D89}" name="Total" dataDxfId="135">
      <calculatedColumnFormula>SUM(Table5[[#This Row],[Math]:[Physics]])</calculatedColumnFormula>
    </tableColumn>
    <tableColumn id="16" xr3:uid="{E4077282-B332-447D-A3D8-3FFBFC30ADB2}" name="Percentage" dataDxfId="134">
      <calculatedColumnFormula>SUM(C3:N3)/1200</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73EFB6-B48E-4298-B1DB-776342088581}" name="Table6" displayName="Table6" ref="A2:P32" totalsRowShown="0" dataDxfId="133">
  <tableColumns count="16">
    <tableColumn id="1" xr3:uid="{89C5426F-59F2-4F8E-B990-9272675C0FB6}" name="Student ID" dataDxfId="132"/>
    <tableColumn id="2" xr3:uid="{AFBD50DA-1012-4D6D-8101-CFA71A3906E9}" name="Name" dataDxfId="131"/>
    <tableColumn id="3" xr3:uid="{51A78C98-9754-4990-B494-057644194AF2}" name="Math" dataDxfId="130"/>
    <tableColumn id="4" xr3:uid="{2CEC81B7-4BDC-45AC-AA18-00743C2D7433}" name="Science" dataDxfId="129"/>
    <tableColumn id="5" xr3:uid="{13A6E982-5A2E-41D5-966B-EB15F6A5DE62}" name="History" dataDxfId="128"/>
    <tableColumn id="6" xr3:uid="{DBAAB2AA-E58A-4957-BCEC-D31435762979}" name="English" dataDxfId="127"/>
    <tableColumn id="7" xr3:uid="{C564F16D-90F6-4EA8-9865-A96B3253EF2C}" name="Business Studies" dataDxfId="126"/>
    <tableColumn id="8" xr3:uid="{2F06E414-B789-4A4F-99CE-8AC8F17D2C82}" name="Economics" dataDxfId="125"/>
    <tableColumn id="9" xr3:uid="{C9F54D57-2B20-4049-8D07-09521CB39C96}" name="Geography" dataDxfId="124"/>
    <tableColumn id="10" xr3:uid="{AC192292-CC28-42C9-8B20-EA2DF58330E1}" name="Music" dataDxfId="123"/>
    <tableColumn id="11" xr3:uid="{2B21514D-2C50-4C07-85C9-6CD59D467E68}" name="Computer Science" dataDxfId="122"/>
    <tableColumn id="12" xr3:uid="{8236EE22-03BB-480E-8F6C-AE3E5A5EBAE2}" name="Art" dataDxfId="121"/>
    <tableColumn id="13" xr3:uid="{8736651F-DA47-4BE8-BBC2-EAE826B9FF26}" name="Chemistry" dataDxfId="120"/>
    <tableColumn id="14" xr3:uid="{ECBD9826-9FCC-4908-B32D-FA5785CC20AB}" name="Physics" dataDxfId="119"/>
    <tableColumn id="15" xr3:uid="{9AA07BF7-D496-4862-A537-CBE13B0A6ECA}" name="Total" dataDxfId="118">
      <calculatedColumnFormula>SUM(Table6[[#This Row],[Math]:[Physics]])</calculatedColumnFormula>
    </tableColumn>
    <tableColumn id="16" xr3:uid="{7E14B4AB-A5BC-4B80-97E7-56A3F2F1AD3D}" name="Percentage" dataDxfId="117">
      <calculatedColumnFormula>SUM(C3:N3)/1200</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7E0AC4-5EAD-40FE-A461-4F937A4DFFA0}" name="Table7" displayName="Table7" ref="A2:P32" totalsRowShown="0" dataDxfId="116">
  <tableColumns count="16">
    <tableColumn id="1" xr3:uid="{A2415095-D20B-49EF-B5C2-960CA0395F53}" name="Student ID" dataDxfId="115"/>
    <tableColumn id="2" xr3:uid="{61F6181B-75D6-491C-A35C-F8BC35F9D53A}" name="Name" dataDxfId="114"/>
    <tableColumn id="3" xr3:uid="{44915F3B-057D-4DEF-A586-85F0FED1E629}" name="Math" dataDxfId="113"/>
    <tableColumn id="4" xr3:uid="{AD8930F4-240D-4EF0-9A05-F70725406D4F}" name="Science" dataDxfId="112"/>
    <tableColumn id="5" xr3:uid="{90BD607F-3775-4D50-A003-08A8A6F4BC11}" name="History" dataDxfId="111"/>
    <tableColumn id="6" xr3:uid="{083A2AAE-0591-47A2-B72B-F59C7FE8388A}" name="English" dataDxfId="110"/>
    <tableColumn id="7" xr3:uid="{32BE1627-AC89-4AAF-92D9-04C22E1767CF}" name="Business Studies" dataDxfId="109"/>
    <tableColumn id="8" xr3:uid="{BE6A5B24-ECB4-4AFA-80CC-27FFD591054E}" name="Economics" dataDxfId="108"/>
    <tableColumn id="9" xr3:uid="{D1F1B434-B492-4CA9-8451-662C6554BAC4}" name="Geography" dataDxfId="107"/>
    <tableColumn id="10" xr3:uid="{E35BA52C-2AE2-4580-ADD9-2E410A8E53D1}" name="Music" dataDxfId="106"/>
    <tableColumn id="11" xr3:uid="{12697554-5287-443D-80BC-01366D02DF88}" name="Computer Science" dataDxfId="105"/>
    <tableColumn id="12" xr3:uid="{260E7BA0-A06D-4026-ABE4-D3D2959AB694}" name="Art" dataDxfId="104"/>
    <tableColumn id="13" xr3:uid="{281EF699-2436-4696-94CF-5A293230DF19}" name="Chemistry" dataDxfId="103"/>
    <tableColumn id="14" xr3:uid="{82CD398C-A566-4C65-A748-00ACCC10D754}" name="Physics" dataDxfId="102"/>
    <tableColumn id="15" xr3:uid="{DE037BFF-10CD-4B05-AB86-977509DCE4F8}" name="Total" dataDxfId="101">
      <calculatedColumnFormula>SUM(Table7[[#This Row],[Math]:[Physics]])</calculatedColumnFormula>
    </tableColumn>
    <tableColumn id="16" xr3:uid="{742506A5-2AA5-44DB-83EF-ACDCA7AA590F}" name="Percentage" dataDxfId="100">
      <calculatedColumnFormula>SUM(C3:N3)/1200</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0AB8E0-E0E0-47F3-A751-11AB3DA10025}" name="Table8" displayName="Table8" ref="A2:P32" totalsRowShown="0" dataDxfId="99">
  <tableColumns count="16">
    <tableColumn id="1" xr3:uid="{107247D4-8668-41BE-ACF0-A37C2619C415}" name="Student ID" dataDxfId="98"/>
    <tableColumn id="2" xr3:uid="{DC09A9D8-0859-4ABF-A79B-3A5D33D4DDF1}" name="Name" dataDxfId="97"/>
    <tableColumn id="3" xr3:uid="{B0FF1915-A6BF-48F3-9879-F0C6FA1D36EC}" name="Math" dataDxfId="96"/>
    <tableColumn id="4" xr3:uid="{783D476D-6B0B-41F3-91E7-6A5998870224}" name="Science" dataDxfId="95"/>
    <tableColumn id="5" xr3:uid="{6FA9AD92-DCE4-437A-9C60-BE7AA21203C6}" name="History" dataDxfId="94"/>
    <tableColumn id="6" xr3:uid="{9FCE61E9-2F05-49D4-95FA-28B014ED1C4C}" name="English" dataDxfId="93"/>
    <tableColumn id="7" xr3:uid="{404AF8C6-415D-4838-AF93-610FB16E53C1}" name="Business Studies" dataDxfId="92"/>
    <tableColumn id="8" xr3:uid="{4447C403-7523-41A8-A14C-8359F4ED2E84}" name="Economics" dataDxfId="91"/>
    <tableColumn id="9" xr3:uid="{663E8743-D3F2-4256-85FE-B1BE9B445475}" name="Geography" dataDxfId="90"/>
    <tableColumn id="10" xr3:uid="{16A265C3-7397-4D81-8211-2FAB21351E08}" name="Music" dataDxfId="89"/>
    <tableColumn id="11" xr3:uid="{4068B380-3393-4154-BA89-EF3883E78818}" name="Computer Science" dataDxfId="88"/>
    <tableColumn id="12" xr3:uid="{15D27889-99C3-4CA9-B786-D34CE98695B1}" name="Art" dataDxfId="87"/>
    <tableColumn id="13" xr3:uid="{C4682A38-0FE7-4AA7-A2EC-C19442EF18B4}" name="Chemistry" dataDxfId="86"/>
    <tableColumn id="14" xr3:uid="{B7C19789-13DC-400C-A4E2-891C4B07B1C3}" name="Physics" dataDxfId="85"/>
    <tableColumn id="15" xr3:uid="{02E01746-4131-4A80-B168-39C89D35AFF1}" name="Total" dataDxfId="84">
      <calculatedColumnFormula>SUM(Table8[[#This Row],[Math]:[Physics]])</calculatedColumnFormula>
    </tableColumn>
    <tableColumn id="16" xr3:uid="{3BE0EAB0-03AE-4BF7-AB2D-D497CAEF2F9A}" name="Percentage" dataDxfId="83">
      <calculatedColumnFormula>SUM(C3:N3)/1200</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D2421-8BED-4A8B-9996-06764B28294D}" name="Table2" displayName="Table2" ref="A2:H22" totalsRowShown="0" headerRowDxfId="82" dataDxfId="80" headerRowBorderDxfId="81" tableBorderDxfId="79" totalsRowBorderDxfId="78">
  <autoFilter ref="A2:H22" xr:uid="{08DD2421-8BED-4A8B-9996-06764B28294D}"/>
  <tableColumns count="8">
    <tableColumn id="1" xr3:uid="{83504D92-97F2-477F-B63A-B943EEE2DD44}" name="Course ID" dataDxfId="77"/>
    <tableColumn id="2" xr3:uid="{5A56FB02-D2D4-41F0-BE89-1BF1F9349BDA}" name="Course Name" dataDxfId="76"/>
    <tableColumn id="3" xr3:uid="{E334D0F2-B906-4D89-8D0D-7E7F5CC85CBC}" name="Year" dataDxfId="75"/>
    <tableColumn id="4" xr3:uid="{D83A71B8-4B80-46BB-BE4F-73E1AE65291E}" name="Semester" dataDxfId="74"/>
    <tableColumn id="5" xr3:uid="{3B0BC13B-1874-4072-8660-2533A357A809}" name="Activities" dataDxfId="73"/>
    <tableColumn id="6" xr3:uid="{A646F102-FC61-432B-9052-9AD59726FAE2}" name="Due Date" dataDxfId="72"/>
    <tableColumn id="9" xr3:uid="{02209A58-7F0A-44EE-AE14-E0A27AD48397}" name="Month" dataDxfId="71">
      <calculatedColumnFormula xml:space="preserve"> TEXT(Table2[[#This Row],[Due Date]],"MMM")</calculatedColumnFormula>
    </tableColumn>
    <tableColumn id="7" xr3:uid="{0A672CEE-C543-4C63-9D4F-3FA86BDE7628}" name="Status " dataDxfId="7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670D3F-0C38-4068-9F95-0C426EB6F9FC}" name="Table4" displayName="Table4" ref="B3:E15" totalsRowShown="0" headerRowDxfId="39" dataDxfId="38">
  <tableColumns count="4">
    <tableColumn id="1" xr3:uid="{EC3A43A0-CACF-43C8-9A02-EF293B1CA270}" name="Subject" dataDxfId="37"/>
    <tableColumn id="2" xr3:uid="{4015E0C6-8498-4104-B48B-F47CFC3CF7EF}" name="Date" dataDxfId="36"/>
    <tableColumn id="3" xr3:uid="{B441411E-D695-4C7E-AE77-F827F6E75ED6}" name="Day" dataDxfId="35"/>
    <tableColumn id="4" xr3:uid="{5F147647-A8C9-4E79-BDEA-4EC4DE29051A}" name="Time" dataDxfId="3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0AFE3-2F36-4F97-BC3D-F76233C9FEFF}">
  <sheetPr>
    <tabColor theme="8" tint="-0.249977111117893"/>
  </sheetPr>
  <dimension ref="A2:V62"/>
  <sheetViews>
    <sheetView showGridLines="0" showRowColHeaders="0" tabSelected="1" zoomScale="85" zoomScaleNormal="85" workbookViewId="0"/>
  </sheetViews>
  <sheetFormatPr defaultRowHeight="14.4" x14ac:dyDescent="0.3"/>
  <cols>
    <col min="1" max="3" width="8.77734375" style="26" customWidth="1"/>
    <col min="4" max="16384" width="8.88671875" style="26"/>
  </cols>
  <sheetData>
    <row r="2" spans="3:22" ht="30.6" customHeight="1" x14ac:dyDescent="0.3">
      <c r="C2" s="27"/>
      <c r="D2" s="39" t="s">
        <v>55</v>
      </c>
      <c r="E2" s="40"/>
      <c r="F2" s="40"/>
      <c r="G2" s="40"/>
      <c r="H2" s="40"/>
      <c r="I2" s="40"/>
      <c r="J2" s="40"/>
      <c r="K2" s="40"/>
      <c r="L2" s="40"/>
      <c r="M2" s="40"/>
      <c r="N2" s="40"/>
      <c r="O2" s="40"/>
      <c r="P2" s="40"/>
      <c r="Q2" s="40"/>
      <c r="R2" s="40"/>
      <c r="S2" s="40"/>
      <c r="T2" s="40"/>
      <c r="U2" s="40"/>
      <c r="V2" s="27"/>
    </row>
    <row r="61" spans="1:1" x14ac:dyDescent="0.3">
      <c r="A61" s="26">
        <f>COUNTA(Teachers!A2:A100)-2</f>
        <v>12</v>
      </c>
    </row>
    <row r="62" spans="1:1" x14ac:dyDescent="0.3">
      <c r="A62" s="26">
        <f>COUNTA('Class 6'!A3:A32)+COUNTA('Class 7'!A3:A32)+COUNTA('Class 8'!A3:A32)+COUNTA('Class 9'!A3:A32)+COUNTA('Class 10'!A3:A32)</f>
        <v>150</v>
      </c>
    </row>
  </sheetData>
  <mergeCells count="1">
    <mergeCell ref="D2: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31:C44"/>
  <sheetViews>
    <sheetView workbookViewId="0">
      <selection activeCell="E40" sqref="E40"/>
    </sheetView>
  </sheetViews>
  <sheetFormatPr defaultRowHeight="14.4" x14ac:dyDescent="0.3"/>
  <cols>
    <col min="1" max="1" width="9.44140625" bestFit="1" customWidth="1"/>
    <col min="2" max="2" width="13.6640625" bestFit="1" customWidth="1"/>
    <col min="3" max="3" width="15.77734375" bestFit="1" customWidth="1"/>
    <col min="13" max="13" width="8.109375" customWidth="1"/>
  </cols>
  <sheetData>
    <row r="31" spans="1:3" s="33" customFormat="1" ht="24.6" customHeight="1" x14ac:dyDescent="0.3">
      <c r="A31" s="41" t="s">
        <v>229</v>
      </c>
      <c r="B31" s="42"/>
      <c r="C31" s="43"/>
    </row>
    <row r="32" spans="1:3" x14ac:dyDescent="0.3">
      <c r="A32" s="32" t="s">
        <v>215</v>
      </c>
      <c r="B32" s="32" t="s">
        <v>0</v>
      </c>
      <c r="C32" s="32" t="s">
        <v>1</v>
      </c>
    </row>
    <row r="33" spans="1:3" x14ac:dyDescent="0.3">
      <c r="A33" s="11">
        <v>1</v>
      </c>
      <c r="B33" s="11" t="s">
        <v>28</v>
      </c>
      <c r="C33" s="11" t="s">
        <v>2</v>
      </c>
    </row>
    <row r="34" spans="1:3" x14ac:dyDescent="0.3">
      <c r="A34" s="11">
        <v>2</v>
      </c>
      <c r="B34" s="11" t="s">
        <v>29</v>
      </c>
      <c r="C34" s="11" t="s">
        <v>3</v>
      </c>
    </row>
    <row r="35" spans="1:3" x14ac:dyDescent="0.3">
      <c r="A35" s="11">
        <v>3</v>
      </c>
      <c r="B35" s="11" t="s">
        <v>34</v>
      </c>
      <c r="C35" s="11" t="s">
        <v>4</v>
      </c>
    </row>
    <row r="36" spans="1:3" x14ac:dyDescent="0.3">
      <c r="A36" s="11">
        <v>4</v>
      </c>
      <c r="B36" s="11" t="s">
        <v>30</v>
      </c>
      <c r="C36" s="11" t="s">
        <v>5</v>
      </c>
    </row>
    <row r="37" spans="1:3" x14ac:dyDescent="0.3">
      <c r="A37" s="11">
        <v>5</v>
      </c>
      <c r="B37" s="11" t="s">
        <v>31</v>
      </c>
      <c r="C37" s="11" t="s">
        <v>6</v>
      </c>
    </row>
    <row r="38" spans="1:3" x14ac:dyDescent="0.3">
      <c r="A38" s="11">
        <v>6</v>
      </c>
      <c r="B38" s="11" t="s">
        <v>32</v>
      </c>
      <c r="C38" s="11" t="s">
        <v>7</v>
      </c>
    </row>
    <row r="39" spans="1:3" x14ac:dyDescent="0.3">
      <c r="A39" s="11">
        <v>7</v>
      </c>
      <c r="B39" s="11" t="s">
        <v>36</v>
      </c>
      <c r="C39" s="11" t="s">
        <v>8</v>
      </c>
    </row>
    <row r="40" spans="1:3" x14ac:dyDescent="0.3">
      <c r="A40" s="11">
        <v>8</v>
      </c>
      <c r="B40" s="11" t="s">
        <v>33</v>
      </c>
      <c r="C40" s="11" t="s">
        <v>9</v>
      </c>
    </row>
    <row r="41" spans="1:3" x14ac:dyDescent="0.3">
      <c r="A41" s="11">
        <v>9</v>
      </c>
      <c r="B41" s="11" t="s">
        <v>37</v>
      </c>
      <c r="C41" s="11" t="s">
        <v>10</v>
      </c>
    </row>
    <row r="42" spans="1:3" x14ac:dyDescent="0.3">
      <c r="A42" s="11">
        <v>10</v>
      </c>
      <c r="B42" s="11" t="s">
        <v>38</v>
      </c>
      <c r="C42" s="11" t="s">
        <v>11</v>
      </c>
    </row>
    <row r="43" spans="1:3" x14ac:dyDescent="0.3">
      <c r="A43" s="11">
        <v>11</v>
      </c>
      <c r="B43" s="11" t="s">
        <v>39</v>
      </c>
      <c r="C43" s="11" t="s">
        <v>35</v>
      </c>
    </row>
    <row r="44" spans="1:3" x14ac:dyDescent="0.3">
      <c r="A44" s="11">
        <v>12</v>
      </c>
      <c r="B44" s="11" t="s">
        <v>238</v>
      </c>
      <c r="C44" s="11" t="s">
        <v>41</v>
      </c>
    </row>
  </sheetData>
  <mergeCells count="1">
    <mergeCell ref="A31:C3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6EBE-4BE0-4B6F-AF4A-6CE05F4E7683}">
  <sheetPr>
    <tabColor theme="7" tint="0.39997558519241921"/>
  </sheetPr>
  <dimension ref="A1:P32"/>
  <sheetViews>
    <sheetView workbookViewId="0">
      <pane ySplit="1" topLeftCell="A2" activePane="bottomLeft" state="frozen"/>
      <selection pane="bottomLeft" activeCell="E18" sqref="E18"/>
    </sheetView>
  </sheetViews>
  <sheetFormatPr defaultRowHeight="14.4" x14ac:dyDescent="0.3"/>
  <cols>
    <col min="1" max="1" width="11.77734375" customWidth="1"/>
    <col min="2" max="2" width="14.5546875" bestFit="1" customWidth="1"/>
    <col min="4" max="4" width="9.21875" customWidth="1"/>
    <col min="7" max="7" width="16.5546875" customWidth="1"/>
    <col min="8" max="8" width="11.88671875" customWidth="1"/>
    <col min="9" max="9" width="12.109375" customWidth="1"/>
    <col min="11" max="11" width="18.109375" customWidth="1"/>
    <col min="13" max="13" width="11.33203125" customWidth="1"/>
    <col min="14" max="14" width="9" customWidth="1"/>
    <col min="16" max="16" width="8.88671875" style="15"/>
  </cols>
  <sheetData>
    <row r="1" spans="1:16" ht="23.4" x14ac:dyDescent="0.45">
      <c r="A1" s="44" t="s">
        <v>231</v>
      </c>
      <c r="B1" s="44"/>
      <c r="C1" s="44"/>
      <c r="D1" s="44"/>
      <c r="E1" s="44"/>
      <c r="F1" s="44"/>
      <c r="G1" s="44"/>
      <c r="H1" s="44"/>
      <c r="I1" s="44"/>
      <c r="J1" s="44"/>
      <c r="K1" s="44"/>
      <c r="L1" s="44"/>
      <c r="M1" s="44"/>
      <c r="N1" s="44"/>
      <c r="O1" s="44"/>
      <c r="P1" s="44"/>
    </row>
    <row r="2" spans="1:16" x14ac:dyDescent="0.3">
      <c r="A2" t="s">
        <v>12</v>
      </c>
      <c r="B2" t="s">
        <v>0</v>
      </c>
      <c r="C2" t="s">
        <v>2</v>
      </c>
      <c r="D2" t="s">
        <v>3</v>
      </c>
      <c r="E2" t="s">
        <v>4</v>
      </c>
      <c r="F2" t="s">
        <v>5</v>
      </c>
      <c r="G2" t="s">
        <v>6</v>
      </c>
      <c r="H2" t="s">
        <v>7</v>
      </c>
      <c r="I2" t="s">
        <v>8</v>
      </c>
      <c r="J2" t="s">
        <v>9</v>
      </c>
      <c r="K2" t="s">
        <v>10</v>
      </c>
      <c r="L2" t="s">
        <v>11</v>
      </c>
      <c r="M2" t="s">
        <v>40</v>
      </c>
      <c r="N2" t="s">
        <v>41</v>
      </c>
      <c r="O2" t="s">
        <v>48</v>
      </c>
      <c r="P2" s="1" t="s">
        <v>49</v>
      </c>
    </row>
    <row r="3" spans="1:16" x14ac:dyDescent="0.3">
      <c r="A3" s="28">
        <v>1</v>
      </c>
      <c r="B3" s="28" t="s">
        <v>88</v>
      </c>
      <c r="C3" s="28">
        <v>86</v>
      </c>
      <c r="D3" s="28">
        <v>94</v>
      </c>
      <c r="E3" s="28">
        <v>82</v>
      </c>
      <c r="F3" s="28">
        <v>72</v>
      </c>
      <c r="G3" s="28">
        <v>71</v>
      </c>
      <c r="H3" s="28">
        <v>69</v>
      </c>
      <c r="I3" s="28">
        <v>89</v>
      </c>
      <c r="J3" s="28">
        <v>93</v>
      </c>
      <c r="K3" s="28">
        <v>80</v>
      </c>
      <c r="L3" s="28">
        <v>91</v>
      </c>
      <c r="M3" s="28">
        <v>66</v>
      </c>
      <c r="N3" s="28">
        <v>69</v>
      </c>
      <c r="O3" s="28">
        <f>SUM(Table3[[#This Row],[Math]:[Physics]])</f>
        <v>962</v>
      </c>
      <c r="P3" s="29">
        <f t="shared" ref="P3:P32" si="0">SUM(C3:N3)/1200</f>
        <v>0.80166666666666664</v>
      </c>
    </row>
    <row r="4" spans="1:16" x14ac:dyDescent="0.3">
      <c r="A4" s="28">
        <v>2</v>
      </c>
      <c r="B4" s="28" t="s">
        <v>43</v>
      </c>
      <c r="C4" s="28">
        <v>80</v>
      </c>
      <c r="D4" s="28">
        <v>69</v>
      </c>
      <c r="E4" s="28">
        <v>72</v>
      </c>
      <c r="F4" s="28">
        <v>90</v>
      </c>
      <c r="G4" s="28">
        <v>67</v>
      </c>
      <c r="H4" s="28">
        <v>95</v>
      </c>
      <c r="I4" s="28">
        <v>86</v>
      </c>
      <c r="J4" s="28">
        <v>90</v>
      </c>
      <c r="K4" s="28">
        <v>81</v>
      </c>
      <c r="L4" s="28">
        <v>90</v>
      </c>
      <c r="M4" s="28">
        <v>71</v>
      </c>
      <c r="N4" s="28">
        <v>85</v>
      </c>
      <c r="O4" s="28">
        <f>SUM(Table3[[#This Row],[Math]:[Physics]])</f>
        <v>976</v>
      </c>
      <c r="P4" s="29">
        <f t="shared" si="0"/>
        <v>0.81333333333333335</v>
      </c>
    </row>
    <row r="5" spans="1:16" x14ac:dyDescent="0.3">
      <c r="A5" s="28">
        <v>3</v>
      </c>
      <c r="B5" s="28" t="s">
        <v>89</v>
      </c>
      <c r="C5" s="28">
        <v>78</v>
      </c>
      <c r="D5" s="28">
        <v>76</v>
      </c>
      <c r="E5" s="28">
        <v>79</v>
      </c>
      <c r="F5" s="28">
        <v>87</v>
      </c>
      <c r="G5" s="28">
        <v>74</v>
      </c>
      <c r="H5" s="28">
        <v>83</v>
      </c>
      <c r="I5" s="28">
        <v>80</v>
      </c>
      <c r="J5" s="28">
        <v>78</v>
      </c>
      <c r="K5" s="28">
        <v>66</v>
      </c>
      <c r="L5" s="28">
        <v>70</v>
      </c>
      <c r="M5" s="28">
        <v>90</v>
      </c>
      <c r="N5" s="28">
        <v>93</v>
      </c>
      <c r="O5" s="28">
        <f>SUM(Table3[[#This Row],[Math]:[Physics]])</f>
        <v>954</v>
      </c>
      <c r="P5" s="29">
        <f t="shared" si="0"/>
        <v>0.79500000000000004</v>
      </c>
    </row>
    <row r="6" spans="1:16" x14ac:dyDescent="0.3">
      <c r="A6" s="28">
        <v>4</v>
      </c>
      <c r="B6" s="28" t="s">
        <v>90</v>
      </c>
      <c r="C6" s="28">
        <v>84</v>
      </c>
      <c r="D6" s="28">
        <v>83</v>
      </c>
      <c r="E6" s="28">
        <v>66</v>
      </c>
      <c r="F6" s="28">
        <v>69</v>
      </c>
      <c r="G6" s="28">
        <v>67</v>
      </c>
      <c r="H6" s="28">
        <v>79</v>
      </c>
      <c r="I6" s="28">
        <v>78</v>
      </c>
      <c r="J6" s="28">
        <v>78</v>
      </c>
      <c r="K6" s="28">
        <v>95</v>
      </c>
      <c r="L6" s="28">
        <v>71</v>
      </c>
      <c r="M6" s="28">
        <v>79</v>
      </c>
      <c r="N6" s="28">
        <v>93</v>
      </c>
      <c r="O6" s="28">
        <f>SUM(Table3[[#This Row],[Math]:[Physics]])</f>
        <v>942</v>
      </c>
      <c r="P6" s="29">
        <f t="shared" si="0"/>
        <v>0.78500000000000003</v>
      </c>
    </row>
    <row r="7" spans="1:16" x14ac:dyDescent="0.3">
      <c r="A7" s="28">
        <v>5</v>
      </c>
      <c r="B7" s="28" t="s">
        <v>91</v>
      </c>
      <c r="C7" s="28">
        <v>87</v>
      </c>
      <c r="D7" s="28">
        <v>82</v>
      </c>
      <c r="E7" s="28">
        <v>84</v>
      </c>
      <c r="F7" s="28">
        <v>79</v>
      </c>
      <c r="G7" s="28">
        <v>76</v>
      </c>
      <c r="H7" s="28">
        <v>65</v>
      </c>
      <c r="I7" s="28">
        <v>68</v>
      </c>
      <c r="J7" s="28">
        <v>69</v>
      </c>
      <c r="K7" s="28">
        <v>89</v>
      </c>
      <c r="L7" s="28">
        <v>76</v>
      </c>
      <c r="M7" s="28">
        <v>80</v>
      </c>
      <c r="N7" s="28">
        <v>71</v>
      </c>
      <c r="O7" s="28">
        <f>SUM(Table3[[#This Row],[Math]:[Physics]])</f>
        <v>926</v>
      </c>
      <c r="P7" s="29">
        <f t="shared" si="0"/>
        <v>0.77166666666666661</v>
      </c>
    </row>
    <row r="8" spans="1:16" x14ac:dyDescent="0.3">
      <c r="A8" s="28">
        <v>6</v>
      </c>
      <c r="B8" s="28" t="s">
        <v>46</v>
      </c>
      <c r="C8" s="28">
        <v>71</v>
      </c>
      <c r="D8" s="28">
        <v>82</v>
      </c>
      <c r="E8" s="28">
        <v>83</v>
      </c>
      <c r="F8" s="28">
        <v>65</v>
      </c>
      <c r="G8" s="28">
        <v>79</v>
      </c>
      <c r="H8" s="28">
        <v>89</v>
      </c>
      <c r="I8" s="28">
        <v>66</v>
      </c>
      <c r="J8" s="28">
        <v>80</v>
      </c>
      <c r="K8" s="28">
        <v>72</v>
      </c>
      <c r="L8" s="28">
        <v>93</v>
      </c>
      <c r="M8" s="28">
        <v>67</v>
      </c>
      <c r="N8" s="28">
        <v>94</v>
      </c>
      <c r="O8" s="28">
        <f>SUM(Table3[[#This Row],[Math]:[Physics]])</f>
        <v>941</v>
      </c>
      <c r="P8" s="29">
        <f t="shared" si="0"/>
        <v>0.78416666666666668</v>
      </c>
    </row>
    <row r="9" spans="1:16" x14ac:dyDescent="0.3">
      <c r="A9" s="28">
        <v>7</v>
      </c>
      <c r="B9" s="28" t="s">
        <v>92</v>
      </c>
      <c r="C9" s="28">
        <v>93</v>
      </c>
      <c r="D9" s="28">
        <v>80</v>
      </c>
      <c r="E9" s="28">
        <v>69</v>
      </c>
      <c r="F9" s="28">
        <v>68</v>
      </c>
      <c r="G9" s="28">
        <v>73</v>
      </c>
      <c r="H9" s="28">
        <v>76</v>
      </c>
      <c r="I9" s="28">
        <v>74</v>
      </c>
      <c r="J9" s="28">
        <v>71</v>
      </c>
      <c r="K9" s="28">
        <v>69</v>
      </c>
      <c r="L9" s="28">
        <v>70</v>
      </c>
      <c r="M9" s="28">
        <v>90</v>
      </c>
      <c r="N9" s="28">
        <v>70</v>
      </c>
      <c r="O9" s="28">
        <f>SUM(Table3[[#This Row],[Math]:[Physics]])</f>
        <v>903</v>
      </c>
      <c r="P9" s="29">
        <f t="shared" si="0"/>
        <v>0.75249999999999995</v>
      </c>
    </row>
    <row r="10" spans="1:16" x14ac:dyDescent="0.3">
      <c r="A10" s="28">
        <v>8</v>
      </c>
      <c r="B10" s="28" t="s">
        <v>93</v>
      </c>
      <c r="C10" s="28">
        <v>83</v>
      </c>
      <c r="D10" s="28">
        <v>74</v>
      </c>
      <c r="E10" s="28">
        <v>68</v>
      </c>
      <c r="F10" s="28">
        <v>68</v>
      </c>
      <c r="G10" s="28">
        <v>72</v>
      </c>
      <c r="H10" s="28">
        <v>79</v>
      </c>
      <c r="I10" s="28">
        <v>70</v>
      </c>
      <c r="J10" s="28">
        <v>73</v>
      </c>
      <c r="K10" s="28">
        <v>83</v>
      </c>
      <c r="L10" s="28">
        <v>93</v>
      </c>
      <c r="M10" s="28">
        <v>92</v>
      </c>
      <c r="N10" s="28">
        <v>78</v>
      </c>
      <c r="O10" s="28">
        <f>SUM(Table3[[#This Row],[Math]:[Physics]])</f>
        <v>933</v>
      </c>
      <c r="P10" s="29">
        <f t="shared" si="0"/>
        <v>0.77749999999999997</v>
      </c>
    </row>
    <row r="11" spans="1:16" x14ac:dyDescent="0.3">
      <c r="A11" s="28">
        <v>9</v>
      </c>
      <c r="B11" s="28" t="s">
        <v>94</v>
      </c>
      <c r="C11" s="28">
        <v>88</v>
      </c>
      <c r="D11" s="28">
        <v>90</v>
      </c>
      <c r="E11" s="28">
        <v>78</v>
      </c>
      <c r="F11" s="28">
        <v>88</v>
      </c>
      <c r="G11" s="28">
        <v>94</v>
      </c>
      <c r="H11" s="28">
        <v>70</v>
      </c>
      <c r="I11" s="28">
        <v>95</v>
      </c>
      <c r="J11" s="28">
        <v>66</v>
      </c>
      <c r="K11" s="28">
        <v>86</v>
      </c>
      <c r="L11" s="28">
        <v>77</v>
      </c>
      <c r="M11" s="28">
        <v>85</v>
      </c>
      <c r="N11" s="28">
        <v>69</v>
      </c>
      <c r="O11" s="28">
        <f>SUM(Table3[[#This Row],[Math]:[Physics]])</f>
        <v>986</v>
      </c>
      <c r="P11" s="29">
        <f t="shared" si="0"/>
        <v>0.82166666666666666</v>
      </c>
    </row>
    <row r="12" spans="1:16" x14ac:dyDescent="0.3">
      <c r="A12" s="28">
        <v>10</v>
      </c>
      <c r="B12" s="28" t="s">
        <v>95</v>
      </c>
      <c r="C12" s="28">
        <v>90</v>
      </c>
      <c r="D12" s="28">
        <v>75</v>
      </c>
      <c r="E12" s="28">
        <v>91</v>
      </c>
      <c r="F12" s="28">
        <v>69</v>
      </c>
      <c r="G12" s="28">
        <v>78</v>
      </c>
      <c r="H12" s="28">
        <v>67</v>
      </c>
      <c r="I12" s="28">
        <v>76</v>
      </c>
      <c r="J12" s="28">
        <v>92</v>
      </c>
      <c r="K12" s="28">
        <v>92</v>
      </c>
      <c r="L12" s="28">
        <v>80</v>
      </c>
      <c r="M12" s="28">
        <v>76</v>
      </c>
      <c r="N12" s="28">
        <v>74</v>
      </c>
      <c r="O12" s="28">
        <f>SUM(Table3[[#This Row],[Math]:[Physics]])</f>
        <v>960</v>
      </c>
      <c r="P12" s="29">
        <f t="shared" si="0"/>
        <v>0.8</v>
      </c>
    </row>
    <row r="13" spans="1:16" x14ac:dyDescent="0.3">
      <c r="A13" s="28">
        <v>11</v>
      </c>
      <c r="B13" s="28" t="s">
        <v>96</v>
      </c>
      <c r="C13" s="28">
        <v>85</v>
      </c>
      <c r="D13" s="28">
        <v>78</v>
      </c>
      <c r="E13" s="28">
        <v>68</v>
      </c>
      <c r="F13" s="28">
        <v>94</v>
      </c>
      <c r="G13" s="28">
        <v>87</v>
      </c>
      <c r="H13" s="28">
        <v>77</v>
      </c>
      <c r="I13" s="28">
        <v>84</v>
      </c>
      <c r="J13" s="28">
        <v>89</v>
      </c>
      <c r="K13" s="28">
        <v>70</v>
      </c>
      <c r="L13" s="28">
        <v>91</v>
      </c>
      <c r="M13" s="28">
        <v>69</v>
      </c>
      <c r="N13" s="28">
        <v>89</v>
      </c>
      <c r="O13" s="28">
        <f>SUM(Table3[[#This Row],[Math]:[Physics]])</f>
        <v>981</v>
      </c>
      <c r="P13" s="29">
        <f t="shared" si="0"/>
        <v>0.8175</v>
      </c>
    </row>
    <row r="14" spans="1:16" x14ac:dyDescent="0.3">
      <c r="A14" s="28">
        <v>12</v>
      </c>
      <c r="B14" s="28" t="s">
        <v>97</v>
      </c>
      <c r="C14" s="28">
        <v>90</v>
      </c>
      <c r="D14" s="28">
        <v>92</v>
      </c>
      <c r="E14" s="28">
        <v>89</v>
      </c>
      <c r="F14" s="28">
        <v>72</v>
      </c>
      <c r="G14" s="28">
        <v>68</v>
      </c>
      <c r="H14" s="28">
        <v>94</v>
      </c>
      <c r="I14" s="28">
        <v>86</v>
      </c>
      <c r="J14" s="28">
        <v>76</v>
      </c>
      <c r="K14" s="28">
        <v>69</v>
      </c>
      <c r="L14" s="28">
        <v>94</v>
      </c>
      <c r="M14" s="28">
        <v>67</v>
      </c>
      <c r="N14" s="28">
        <v>72</v>
      </c>
      <c r="O14" s="28">
        <f>SUM(Table3[[#This Row],[Math]:[Physics]])</f>
        <v>969</v>
      </c>
      <c r="P14" s="29">
        <f t="shared" si="0"/>
        <v>0.8075</v>
      </c>
    </row>
    <row r="15" spans="1:16" x14ac:dyDescent="0.3">
      <c r="A15" s="28">
        <v>13</v>
      </c>
      <c r="B15" s="28" t="s">
        <v>98</v>
      </c>
      <c r="C15" s="28">
        <v>73</v>
      </c>
      <c r="D15" s="28">
        <v>87</v>
      </c>
      <c r="E15" s="28">
        <v>94</v>
      </c>
      <c r="F15" s="28">
        <v>81</v>
      </c>
      <c r="G15" s="28">
        <v>92</v>
      </c>
      <c r="H15" s="28">
        <v>85</v>
      </c>
      <c r="I15" s="28">
        <v>76</v>
      </c>
      <c r="J15" s="28">
        <v>86</v>
      </c>
      <c r="K15" s="28">
        <v>71</v>
      </c>
      <c r="L15" s="28">
        <v>83</v>
      </c>
      <c r="M15" s="28">
        <v>74</v>
      </c>
      <c r="N15" s="28">
        <v>90</v>
      </c>
      <c r="O15" s="28">
        <f>SUM(Table3[[#This Row],[Math]:[Physics]])</f>
        <v>992</v>
      </c>
      <c r="P15" s="29">
        <f t="shared" si="0"/>
        <v>0.82666666666666666</v>
      </c>
    </row>
    <row r="16" spans="1:16" x14ac:dyDescent="0.3">
      <c r="A16" s="28">
        <v>14</v>
      </c>
      <c r="B16" s="28" t="s">
        <v>99</v>
      </c>
      <c r="C16" s="28">
        <v>73</v>
      </c>
      <c r="D16" s="28">
        <v>92</v>
      </c>
      <c r="E16" s="28">
        <v>67</v>
      </c>
      <c r="F16" s="28">
        <v>81</v>
      </c>
      <c r="G16" s="28">
        <v>70</v>
      </c>
      <c r="H16" s="28">
        <v>91</v>
      </c>
      <c r="I16" s="28">
        <v>72</v>
      </c>
      <c r="J16" s="28">
        <v>81</v>
      </c>
      <c r="K16" s="28">
        <v>66</v>
      </c>
      <c r="L16" s="28">
        <v>86</v>
      </c>
      <c r="M16" s="28">
        <v>78</v>
      </c>
      <c r="N16" s="28">
        <v>70</v>
      </c>
      <c r="O16" s="28">
        <f>SUM(Table3[[#This Row],[Math]:[Physics]])</f>
        <v>927</v>
      </c>
      <c r="P16" s="29">
        <f t="shared" si="0"/>
        <v>0.77249999999999996</v>
      </c>
    </row>
    <row r="17" spans="1:16" x14ac:dyDescent="0.3">
      <c r="A17" s="28">
        <v>15</v>
      </c>
      <c r="B17" s="28" t="s">
        <v>100</v>
      </c>
      <c r="C17" s="28">
        <v>84</v>
      </c>
      <c r="D17" s="28">
        <v>89</v>
      </c>
      <c r="E17" s="28">
        <v>75</v>
      </c>
      <c r="F17" s="28">
        <v>92</v>
      </c>
      <c r="G17" s="28">
        <v>85</v>
      </c>
      <c r="H17" s="28">
        <v>82</v>
      </c>
      <c r="I17" s="28">
        <v>92</v>
      </c>
      <c r="J17" s="28">
        <v>91</v>
      </c>
      <c r="K17" s="28">
        <v>72</v>
      </c>
      <c r="L17" s="28">
        <v>82</v>
      </c>
      <c r="M17" s="28">
        <v>71</v>
      </c>
      <c r="N17" s="28">
        <v>95</v>
      </c>
      <c r="O17" s="28">
        <f>SUM(Table3[[#This Row],[Math]:[Physics]])</f>
        <v>1010</v>
      </c>
      <c r="P17" s="29">
        <f t="shared" si="0"/>
        <v>0.84166666666666667</v>
      </c>
    </row>
    <row r="18" spans="1:16" x14ac:dyDescent="0.3">
      <c r="A18" s="28">
        <v>16</v>
      </c>
      <c r="B18" s="28" t="s">
        <v>101</v>
      </c>
      <c r="C18" s="28">
        <v>77</v>
      </c>
      <c r="D18" s="28">
        <v>93</v>
      </c>
      <c r="E18" s="28">
        <v>88</v>
      </c>
      <c r="F18" s="28">
        <v>73</v>
      </c>
      <c r="G18" s="28">
        <v>66</v>
      </c>
      <c r="H18" s="28">
        <v>82</v>
      </c>
      <c r="I18" s="28">
        <v>84</v>
      </c>
      <c r="J18" s="28">
        <v>84</v>
      </c>
      <c r="K18" s="28">
        <v>86</v>
      </c>
      <c r="L18" s="28">
        <v>73</v>
      </c>
      <c r="M18" s="28">
        <v>71</v>
      </c>
      <c r="N18" s="28">
        <v>68</v>
      </c>
      <c r="O18" s="28">
        <f>SUM(Table3[[#This Row],[Math]:[Physics]])</f>
        <v>945</v>
      </c>
      <c r="P18" s="29">
        <f t="shared" si="0"/>
        <v>0.78749999999999998</v>
      </c>
    </row>
    <row r="19" spans="1:16" x14ac:dyDescent="0.3">
      <c r="A19" s="28">
        <v>17</v>
      </c>
      <c r="B19" s="28" t="s">
        <v>102</v>
      </c>
      <c r="C19" s="28">
        <v>82</v>
      </c>
      <c r="D19" s="28">
        <v>71</v>
      </c>
      <c r="E19" s="28">
        <v>69</v>
      </c>
      <c r="F19" s="28">
        <v>77</v>
      </c>
      <c r="G19" s="28">
        <v>89</v>
      </c>
      <c r="H19" s="28">
        <v>74</v>
      </c>
      <c r="I19" s="28">
        <v>78</v>
      </c>
      <c r="J19" s="28">
        <v>70</v>
      </c>
      <c r="K19" s="28">
        <v>85</v>
      </c>
      <c r="L19" s="28">
        <v>68</v>
      </c>
      <c r="M19" s="28">
        <v>75</v>
      </c>
      <c r="N19" s="28">
        <v>79</v>
      </c>
      <c r="O19" s="28">
        <f>SUM(Table3[[#This Row],[Math]:[Physics]])</f>
        <v>917</v>
      </c>
      <c r="P19" s="29">
        <f t="shared" si="0"/>
        <v>0.76416666666666666</v>
      </c>
    </row>
    <row r="20" spans="1:16" x14ac:dyDescent="0.3">
      <c r="A20" s="28">
        <v>18</v>
      </c>
      <c r="B20" s="28" t="s">
        <v>103</v>
      </c>
      <c r="C20" s="28">
        <v>91</v>
      </c>
      <c r="D20" s="28">
        <v>83</v>
      </c>
      <c r="E20" s="28">
        <v>66</v>
      </c>
      <c r="F20" s="28">
        <v>80</v>
      </c>
      <c r="G20" s="28">
        <v>82</v>
      </c>
      <c r="H20" s="28">
        <v>92</v>
      </c>
      <c r="I20" s="28">
        <v>69</v>
      </c>
      <c r="J20" s="28">
        <v>87</v>
      </c>
      <c r="K20" s="28">
        <v>67</v>
      </c>
      <c r="L20" s="28">
        <v>85</v>
      </c>
      <c r="M20" s="28">
        <v>69</v>
      </c>
      <c r="N20" s="28">
        <v>73</v>
      </c>
      <c r="O20" s="28">
        <f>SUM(Table3[[#This Row],[Math]:[Physics]])</f>
        <v>944</v>
      </c>
      <c r="P20" s="29">
        <f t="shared" si="0"/>
        <v>0.78666666666666663</v>
      </c>
    </row>
    <row r="21" spans="1:16" x14ac:dyDescent="0.3">
      <c r="A21" s="28">
        <v>19</v>
      </c>
      <c r="B21" s="28" t="s">
        <v>104</v>
      </c>
      <c r="C21" s="28">
        <v>82</v>
      </c>
      <c r="D21" s="28">
        <v>85</v>
      </c>
      <c r="E21" s="28">
        <v>67</v>
      </c>
      <c r="F21" s="28">
        <v>91</v>
      </c>
      <c r="G21" s="28">
        <v>85</v>
      </c>
      <c r="H21" s="28">
        <v>89</v>
      </c>
      <c r="I21" s="28">
        <v>81</v>
      </c>
      <c r="J21" s="28">
        <v>83</v>
      </c>
      <c r="K21" s="28">
        <v>87</v>
      </c>
      <c r="L21" s="28">
        <v>94</v>
      </c>
      <c r="M21" s="28">
        <v>86</v>
      </c>
      <c r="N21" s="28">
        <v>77</v>
      </c>
      <c r="O21" s="28">
        <f>SUM(Table3[[#This Row],[Math]:[Physics]])</f>
        <v>1007</v>
      </c>
      <c r="P21" s="29">
        <f t="shared" si="0"/>
        <v>0.83916666666666662</v>
      </c>
    </row>
    <row r="22" spans="1:16" x14ac:dyDescent="0.3">
      <c r="A22" s="28">
        <v>20</v>
      </c>
      <c r="B22" s="28" t="s">
        <v>105</v>
      </c>
      <c r="C22" s="28">
        <v>92</v>
      </c>
      <c r="D22" s="28">
        <v>71</v>
      </c>
      <c r="E22" s="28">
        <v>91</v>
      </c>
      <c r="F22" s="28">
        <v>95</v>
      </c>
      <c r="G22" s="28">
        <v>72</v>
      </c>
      <c r="H22" s="28">
        <v>78</v>
      </c>
      <c r="I22" s="28">
        <v>90</v>
      </c>
      <c r="J22" s="28">
        <v>87</v>
      </c>
      <c r="K22" s="28">
        <v>71</v>
      </c>
      <c r="L22" s="28">
        <v>87</v>
      </c>
      <c r="M22" s="28">
        <v>69</v>
      </c>
      <c r="N22" s="28">
        <v>66</v>
      </c>
      <c r="O22" s="28">
        <f>SUM(Table3[[#This Row],[Math]:[Physics]])</f>
        <v>969</v>
      </c>
      <c r="P22" s="29">
        <f t="shared" si="0"/>
        <v>0.8075</v>
      </c>
    </row>
    <row r="23" spans="1:16" x14ac:dyDescent="0.3">
      <c r="A23" s="28">
        <v>21</v>
      </c>
      <c r="B23" s="28" t="s">
        <v>106</v>
      </c>
      <c r="C23" s="28">
        <v>66</v>
      </c>
      <c r="D23" s="28">
        <v>85</v>
      </c>
      <c r="E23" s="28">
        <v>93</v>
      </c>
      <c r="F23" s="28">
        <v>68</v>
      </c>
      <c r="G23" s="28">
        <v>86</v>
      </c>
      <c r="H23" s="28">
        <v>74</v>
      </c>
      <c r="I23" s="28">
        <v>84</v>
      </c>
      <c r="J23" s="28">
        <v>95</v>
      </c>
      <c r="K23" s="28">
        <v>67</v>
      </c>
      <c r="L23" s="28">
        <v>72</v>
      </c>
      <c r="M23" s="28">
        <v>80</v>
      </c>
      <c r="N23" s="28">
        <v>94</v>
      </c>
      <c r="O23" s="28">
        <f>SUM(Table3[[#This Row],[Math]:[Physics]])</f>
        <v>964</v>
      </c>
      <c r="P23" s="29">
        <f t="shared" si="0"/>
        <v>0.80333333333333334</v>
      </c>
    </row>
    <row r="24" spans="1:16" x14ac:dyDescent="0.3">
      <c r="A24" s="28">
        <v>22</v>
      </c>
      <c r="B24" s="28" t="s">
        <v>107</v>
      </c>
      <c r="C24" s="28">
        <v>95</v>
      </c>
      <c r="D24" s="28">
        <v>84</v>
      </c>
      <c r="E24" s="28">
        <v>76</v>
      </c>
      <c r="F24" s="28">
        <v>66</v>
      </c>
      <c r="G24" s="28">
        <v>85</v>
      </c>
      <c r="H24" s="28">
        <v>73</v>
      </c>
      <c r="I24" s="28">
        <v>88</v>
      </c>
      <c r="J24" s="28">
        <v>70</v>
      </c>
      <c r="K24" s="28">
        <v>83</v>
      </c>
      <c r="L24" s="28">
        <v>67</v>
      </c>
      <c r="M24" s="28">
        <v>65</v>
      </c>
      <c r="N24" s="28">
        <v>73</v>
      </c>
      <c r="O24" s="28">
        <f>SUM(Table3[[#This Row],[Math]:[Physics]])</f>
        <v>925</v>
      </c>
      <c r="P24" s="29">
        <f t="shared" si="0"/>
        <v>0.77083333333333337</v>
      </c>
    </row>
    <row r="25" spans="1:16" x14ac:dyDescent="0.3">
      <c r="A25" s="28">
        <v>23</v>
      </c>
      <c r="B25" s="28" t="s">
        <v>108</v>
      </c>
      <c r="C25" s="28">
        <v>86</v>
      </c>
      <c r="D25" s="28">
        <v>78</v>
      </c>
      <c r="E25" s="28">
        <v>72</v>
      </c>
      <c r="F25" s="28">
        <v>87</v>
      </c>
      <c r="G25" s="28">
        <v>67</v>
      </c>
      <c r="H25" s="28">
        <v>68</v>
      </c>
      <c r="I25" s="28">
        <v>93</v>
      </c>
      <c r="J25" s="28">
        <v>86</v>
      </c>
      <c r="K25" s="28">
        <v>67</v>
      </c>
      <c r="L25" s="28">
        <v>94</v>
      </c>
      <c r="M25" s="28">
        <v>86</v>
      </c>
      <c r="N25" s="28">
        <v>71</v>
      </c>
      <c r="O25" s="28">
        <f>SUM(Table3[[#This Row],[Math]:[Physics]])</f>
        <v>955</v>
      </c>
      <c r="P25" s="29">
        <f t="shared" si="0"/>
        <v>0.79583333333333328</v>
      </c>
    </row>
    <row r="26" spans="1:16" x14ac:dyDescent="0.3">
      <c r="A26" s="28">
        <v>24</v>
      </c>
      <c r="B26" s="28" t="s">
        <v>219</v>
      </c>
      <c r="C26" s="28">
        <v>78</v>
      </c>
      <c r="D26" s="28">
        <v>86</v>
      </c>
      <c r="E26" s="28">
        <v>92</v>
      </c>
      <c r="F26" s="28">
        <v>95</v>
      </c>
      <c r="G26" s="28">
        <v>94</v>
      </c>
      <c r="H26" s="28">
        <v>92</v>
      </c>
      <c r="I26" s="28">
        <v>85</v>
      </c>
      <c r="J26" s="28">
        <v>89</v>
      </c>
      <c r="K26" s="28">
        <v>84</v>
      </c>
      <c r="L26" s="28">
        <v>91</v>
      </c>
      <c r="M26" s="28">
        <v>92</v>
      </c>
      <c r="N26" s="28">
        <v>70</v>
      </c>
      <c r="O26" s="28">
        <f>SUM(Table3[[#This Row],[Math]:[Physics]])</f>
        <v>1048</v>
      </c>
      <c r="P26" s="29">
        <f t="shared" si="0"/>
        <v>0.87333333333333329</v>
      </c>
    </row>
    <row r="27" spans="1:16" x14ac:dyDescent="0.3">
      <c r="A27" s="28">
        <v>25</v>
      </c>
      <c r="B27" s="28" t="s">
        <v>110</v>
      </c>
      <c r="C27" s="28">
        <v>93</v>
      </c>
      <c r="D27" s="28">
        <v>65</v>
      </c>
      <c r="E27" s="28">
        <v>69</v>
      </c>
      <c r="F27" s="28">
        <v>93</v>
      </c>
      <c r="G27" s="28">
        <v>87</v>
      </c>
      <c r="H27" s="28">
        <v>87</v>
      </c>
      <c r="I27" s="28">
        <v>86</v>
      </c>
      <c r="J27" s="28">
        <v>88</v>
      </c>
      <c r="K27" s="28">
        <v>67</v>
      </c>
      <c r="L27" s="28">
        <v>90</v>
      </c>
      <c r="M27" s="28">
        <v>78</v>
      </c>
      <c r="N27" s="28">
        <v>87</v>
      </c>
      <c r="O27" s="28">
        <f>SUM(Table3[[#This Row],[Math]:[Physics]])</f>
        <v>990</v>
      </c>
      <c r="P27" s="29">
        <f t="shared" si="0"/>
        <v>0.82499999999999996</v>
      </c>
    </row>
    <row r="28" spans="1:16" x14ac:dyDescent="0.3">
      <c r="A28" s="28">
        <v>26</v>
      </c>
      <c r="B28" s="28" t="s">
        <v>111</v>
      </c>
      <c r="C28" s="28">
        <v>93</v>
      </c>
      <c r="D28" s="28">
        <v>84</v>
      </c>
      <c r="E28" s="28">
        <v>81</v>
      </c>
      <c r="F28" s="28">
        <v>74</v>
      </c>
      <c r="G28" s="28">
        <v>70</v>
      </c>
      <c r="H28" s="28">
        <v>71</v>
      </c>
      <c r="I28" s="28">
        <v>84</v>
      </c>
      <c r="J28" s="28">
        <v>66</v>
      </c>
      <c r="K28" s="28">
        <v>70</v>
      </c>
      <c r="L28" s="28">
        <v>79</v>
      </c>
      <c r="M28" s="28">
        <v>77</v>
      </c>
      <c r="N28" s="28">
        <v>90</v>
      </c>
      <c r="O28" s="28">
        <f>SUM(Table3[[#This Row],[Math]:[Physics]])</f>
        <v>939</v>
      </c>
      <c r="P28" s="29">
        <f t="shared" si="0"/>
        <v>0.78249999999999997</v>
      </c>
    </row>
    <row r="29" spans="1:16" x14ac:dyDescent="0.3">
      <c r="A29" s="28">
        <v>27</v>
      </c>
      <c r="B29" s="28" t="s">
        <v>112</v>
      </c>
      <c r="C29" s="28">
        <v>93</v>
      </c>
      <c r="D29" s="28">
        <v>72</v>
      </c>
      <c r="E29" s="28">
        <v>71</v>
      </c>
      <c r="F29" s="28">
        <v>82</v>
      </c>
      <c r="G29" s="28">
        <v>81</v>
      </c>
      <c r="H29" s="28">
        <v>85</v>
      </c>
      <c r="I29" s="28">
        <v>87</v>
      </c>
      <c r="J29" s="28">
        <v>83</v>
      </c>
      <c r="K29" s="28">
        <v>76</v>
      </c>
      <c r="L29" s="28">
        <v>73</v>
      </c>
      <c r="M29" s="28">
        <v>86</v>
      </c>
      <c r="N29" s="28">
        <v>76</v>
      </c>
      <c r="O29" s="28">
        <f>SUM(Table3[[#This Row],[Math]:[Physics]])</f>
        <v>965</v>
      </c>
      <c r="P29" s="29">
        <f t="shared" si="0"/>
        <v>0.8041666666666667</v>
      </c>
    </row>
    <row r="30" spans="1:16" x14ac:dyDescent="0.3">
      <c r="A30" s="28">
        <v>28</v>
      </c>
      <c r="B30" s="28" t="s">
        <v>113</v>
      </c>
      <c r="C30" s="28">
        <v>68</v>
      </c>
      <c r="D30" s="28">
        <v>87</v>
      </c>
      <c r="E30" s="28">
        <v>86</v>
      </c>
      <c r="F30" s="28">
        <v>79</v>
      </c>
      <c r="G30" s="28">
        <v>71</v>
      </c>
      <c r="H30" s="28">
        <v>90</v>
      </c>
      <c r="I30" s="28">
        <v>77</v>
      </c>
      <c r="J30" s="28">
        <v>71</v>
      </c>
      <c r="K30" s="28">
        <v>71</v>
      </c>
      <c r="L30" s="28">
        <v>76</v>
      </c>
      <c r="M30" s="28">
        <v>86</v>
      </c>
      <c r="N30" s="28">
        <v>70</v>
      </c>
      <c r="O30" s="28">
        <f>SUM(Table3[[#This Row],[Math]:[Physics]])</f>
        <v>932</v>
      </c>
      <c r="P30" s="29">
        <f t="shared" si="0"/>
        <v>0.77666666666666662</v>
      </c>
    </row>
    <row r="31" spans="1:16" x14ac:dyDescent="0.3">
      <c r="A31" s="28">
        <v>29</v>
      </c>
      <c r="B31" s="28" t="s">
        <v>114</v>
      </c>
      <c r="C31" s="28">
        <v>87</v>
      </c>
      <c r="D31" s="28">
        <v>80</v>
      </c>
      <c r="E31" s="28">
        <v>77</v>
      </c>
      <c r="F31" s="28">
        <v>82</v>
      </c>
      <c r="G31" s="28">
        <v>77</v>
      </c>
      <c r="H31" s="28">
        <v>95</v>
      </c>
      <c r="I31" s="28">
        <v>71</v>
      </c>
      <c r="J31" s="28">
        <v>89</v>
      </c>
      <c r="K31" s="28">
        <v>85</v>
      </c>
      <c r="L31" s="28">
        <v>72</v>
      </c>
      <c r="M31" s="28">
        <v>84</v>
      </c>
      <c r="N31" s="28">
        <v>93</v>
      </c>
      <c r="O31" s="28">
        <f>SUM(Table3[[#This Row],[Math]:[Physics]])</f>
        <v>992</v>
      </c>
      <c r="P31" s="29">
        <f t="shared" si="0"/>
        <v>0.82666666666666666</v>
      </c>
    </row>
    <row r="32" spans="1:16" x14ac:dyDescent="0.3">
      <c r="A32" s="28">
        <v>30</v>
      </c>
      <c r="B32" s="28" t="s">
        <v>115</v>
      </c>
      <c r="C32" s="28">
        <v>85</v>
      </c>
      <c r="D32" s="28">
        <v>89</v>
      </c>
      <c r="E32" s="28">
        <v>82</v>
      </c>
      <c r="F32" s="28">
        <v>71</v>
      </c>
      <c r="G32" s="28">
        <v>72</v>
      </c>
      <c r="H32" s="28">
        <v>75</v>
      </c>
      <c r="I32" s="28">
        <v>93</v>
      </c>
      <c r="J32" s="28">
        <v>95</v>
      </c>
      <c r="K32" s="28">
        <v>72</v>
      </c>
      <c r="L32" s="28">
        <v>95</v>
      </c>
      <c r="M32" s="28">
        <v>74</v>
      </c>
      <c r="N32" s="28">
        <v>80</v>
      </c>
      <c r="O32" s="28">
        <f>SUM(Table3[[#This Row],[Math]:[Physics]])</f>
        <v>983</v>
      </c>
      <c r="P32" s="29">
        <f t="shared" si="0"/>
        <v>0.81916666666666671</v>
      </c>
    </row>
  </sheetData>
  <mergeCells count="1">
    <mergeCell ref="A1:P1"/>
  </mergeCells>
  <conditionalFormatting sqref="P2">
    <cfRule type="dataBar" priority="1">
      <dataBar>
        <cfvo type="min"/>
        <cfvo type="max"/>
        <color rgb="FF008AEF"/>
      </dataBar>
      <extLst>
        <ext xmlns:x14="http://schemas.microsoft.com/office/spreadsheetml/2009/9/main" uri="{B025F937-C7B1-47D3-B67F-A62EFF666E3E}">
          <x14:id>{25C76D00-59BE-4BA2-9DEE-FCF215FA3AEB}</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5C76D00-59BE-4BA2-9DEE-FCF215FA3AEB}">
            <x14:dataBar minLength="0" maxLength="100" gradient="0">
              <x14:cfvo type="autoMin"/>
              <x14:cfvo type="autoMax"/>
              <x14:negativeFillColor rgb="FFFF0000"/>
              <x14:axisColor rgb="FF000000"/>
            </x14:dataBar>
          </x14:cfRule>
          <xm:sqref>P2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2C3A4-2D27-4797-A057-93D7CB132A1F}">
  <sheetPr>
    <tabColor theme="2" tint="-0.499984740745262"/>
  </sheetPr>
  <dimension ref="A1:P32"/>
  <sheetViews>
    <sheetView workbookViewId="0">
      <selection activeCell="B2" sqref="B2"/>
    </sheetView>
  </sheetViews>
  <sheetFormatPr defaultRowHeight="14.4" x14ac:dyDescent="0.3"/>
  <cols>
    <col min="1" max="1" width="11.77734375" customWidth="1"/>
    <col min="2" max="2" width="13.6640625" bestFit="1" customWidth="1"/>
    <col min="4" max="4" width="9.21875" customWidth="1"/>
    <col min="7" max="7" width="16.5546875" customWidth="1"/>
    <col min="8" max="8" width="11.88671875" customWidth="1"/>
    <col min="9" max="9" width="12.109375" customWidth="1"/>
    <col min="11" max="11" width="18.109375" customWidth="1"/>
    <col min="13" max="13" width="11.33203125" customWidth="1"/>
    <col min="14" max="14" width="9" customWidth="1"/>
    <col min="16" max="16" width="8.88671875" style="15"/>
  </cols>
  <sheetData>
    <row r="1" spans="1:16" ht="23.4" x14ac:dyDescent="0.45">
      <c r="A1" s="44" t="s">
        <v>232</v>
      </c>
      <c r="B1" s="44"/>
      <c r="C1" s="44"/>
      <c r="D1" s="44"/>
      <c r="E1" s="44"/>
      <c r="F1" s="44"/>
      <c r="G1" s="44"/>
      <c r="H1" s="44"/>
      <c r="I1" s="44"/>
      <c r="J1" s="44"/>
      <c r="K1" s="44"/>
      <c r="L1" s="44"/>
      <c r="M1" s="44"/>
      <c r="N1" s="44"/>
      <c r="O1" s="44"/>
      <c r="P1" s="44"/>
    </row>
    <row r="2" spans="1:16" x14ac:dyDescent="0.3">
      <c r="A2" t="s">
        <v>12</v>
      </c>
      <c r="B2" t="s">
        <v>0</v>
      </c>
      <c r="C2" t="s">
        <v>2</v>
      </c>
      <c r="D2" t="s">
        <v>3</v>
      </c>
      <c r="E2" t="s">
        <v>4</v>
      </c>
      <c r="F2" t="s">
        <v>5</v>
      </c>
      <c r="G2" t="s">
        <v>6</v>
      </c>
      <c r="H2" t="s">
        <v>7</v>
      </c>
      <c r="I2" t="s">
        <v>8</v>
      </c>
      <c r="J2" t="s">
        <v>9</v>
      </c>
      <c r="K2" t="s">
        <v>10</v>
      </c>
      <c r="L2" t="s">
        <v>11</v>
      </c>
      <c r="M2" t="s">
        <v>40</v>
      </c>
      <c r="N2" t="s">
        <v>41</v>
      </c>
      <c r="O2" t="s">
        <v>48</v>
      </c>
      <c r="P2" s="1" t="s">
        <v>49</v>
      </c>
    </row>
    <row r="3" spans="1:16" x14ac:dyDescent="0.3">
      <c r="A3" s="28">
        <v>1</v>
      </c>
      <c r="B3" s="28" t="s">
        <v>116</v>
      </c>
      <c r="C3" s="28">
        <v>91</v>
      </c>
      <c r="D3" s="28">
        <v>69</v>
      </c>
      <c r="E3" s="28">
        <v>88</v>
      </c>
      <c r="F3" s="28">
        <v>69</v>
      </c>
      <c r="G3" s="28">
        <v>90</v>
      </c>
      <c r="H3" s="28">
        <v>95</v>
      </c>
      <c r="I3" s="28">
        <v>67</v>
      </c>
      <c r="J3" s="28">
        <v>67</v>
      </c>
      <c r="K3" s="28">
        <v>80</v>
      </c>
      <c r="L3" s="28">
        <v>82</v>
      </c>
      <c r="M3" s="28">
        <v>93</v>
      </c>
      <c r="N3" s="28">
        <v>65</v>
      </c>
      <c r="O3" s="28">
        <f>SUM(Table5[[#This Row],[Math]:[Physics]])</f>
        <v>956</v>
      </c>
      <c r="P3" s="29">
        <f t="shared" ref="P3:P32" si="0">SUM(C3:N3)/1200</f>
        <v>0.79666666666666663</v>
      </c>
    </row>
    <row r="4" spans="1:16" x14ac:dyDescent="0.3">
      <c r="A4" s="28">
        <v>2</v>
      </c>
      <c r="B4" s="28" t="s">
        <v>117</v>
      </c>
      <c r="C4" s="28">
        <v>77</v>
      </c>
      <c r="D4" s="28">
        <v>73</v>
      </c>
      <c r="E4" s="28">
        <v>70</v>
      </c>
      <c r="F4" s="28">
        <v>89</v>
      </c>
      <c r="G4" s="28">
        <v>83</v>
      </c>
      <c r="H4" s="28">
        <v>90</v>
      </c>
      <c r="I4" s="28">
        <v>86</v>
      </c>
      <c r="J4" s="28">
        <v>71</v>
      </c>
      <c r="K4" s="28">
        <v>78</v>
      </c>
      <c r="L4" s="28">
        <v>68</v>
      </c>
      <c r="M4" s="28">
        <v>71</v>
      </c>
      <c r="N4" s="28">
        <v>83</v>
      </c>
      <c r="O4" s="28">
        <f>SUM(Table5[[#This Row],[Math]:[Physics]])</f>
        <v>939</v>
      </c>
      <c r="P4" s="29">
        <f t="shared" si="0"/>
        <v>0.78249999999999997</v>
      </c>
    </row>
    <row r="5" spans="1:16" x14ac:dyDescent="0.3">
      <c r="A5" s="28">
        <v>3</v>
      </c>
      <c r="B5" s="28" t="s">
        <v>44</v>
      </c>
      <c r="C5" s="28">
        <v>78</v>
      </c>
      <c r="D5" s="28">
        <v>79</v>
      </c>
      <c r="E5" s="28">
        <v>69</v>
      </c>
      <c r="F5" s="28">
        <v>73</v>
      </c>
      <c r="G5" s="28">
        <v>69</v>
      </c>
      <c r="H5" s="28">
        <v>90</v>
      </c>
      <c r="I5" s="28">
        <v>76</v>
      </c>
      <c r="J5" s="28">
        <v>75</v>
      </c>
      <c r="K5" s="28">
        <v>85</v>
      </c>
      <c r="L5" s="28">
        <v>74</v>
      </c>
      <c r="M5" s="28">
        <v>69</v>
      </c>
      <c r="N5" s="28">
        <v>75</v>
      </c>
      <c r="O5" s="28">
        <f>SUM(Table5[[#This Row],[Math]:[Physics]])</f>
        <v>912</v>
      </c>
      <c r="P5" s="29">
        <f t="shared" si="0"/>
        <v>0.76</v>
      </c>
    </row>
    <row r="6" spans="1:16" x14ac:dyDescent="0.3">
      <c r="A6" s="28">
        <v>4</v>
      </c>
      <c r="B6" s="28" t="s">
        <v>118</v>
      </c>
      <c r="C6" s="28">
        <v>92</v>
      </c>
      <c r="D6" s="28">
        <v>90</v>
      </c>
      <c r="E6" s="28">
        <v>82</v>
      </c>
      <c r="F6" s="28">
        <v>94</v>
      </c>
      <c r="G6" s="28">
        <v>86</v>
      </c>
      <c r="H6" s="28">
        <v>76</v>
      </c>
      <c r="I6" s="28">
        <v>67</v>
      </c>
      <c r="J6" s="28">
        <v>79</v>
      </c>
      <c r="K6" s="28">
        <v>90</v>
      </c>
      <c r="L6" s="28">
        <v>72</v>
      </c>
      <c r="M6" s="28">
        <v>79</v>
      </c>
      <c r="N6" s="28">
        <v>91</v>
      </c>
      <c r="O6" s="28">
        <f>SUM(Table5[[#This Row],[Math]:[Physics]])</f>
        <v>998</v>
      </c>
      <c r="P6" s="29">
        <f t="shared" si="0"/>
        <v>0.83166666666666667</v>
      </c>
    </row>
    <row r="7" spans="1:16" x14ac:dyDescent="0.3">
      <c r="A7" s="28">
        <v>5</v>
      </c>
      <c r="B7" s="28" t="s">
        <v>119</v>
      </c>
      <c r="C7" s="28">
        <v>73</v>
      </c>
      <c r="D7" s="28">
        <v>70</v>
      </c>
      <c r="E7" s="28">
        <v>88</v>
      </c>
      <c r="F7" s="28">
        <v>76</v>
      </c>
      <c r="G7" s="28">
        <v>82</v>
      </c>
      <c r="H7" s="28">
        <v>81</v>
      </c>
      <c r="I7" s="28">
        <v>93</v>
      </c>
      <c r="J7" s="28">
        <v>94</v>
      </c>
      <c r="K7" s="28">
        <v>80</v>
      </c>
      <c r="L7" s="28">
        <v>91</v>
      </c>
      <c r="M7" s="28">
        <v>75</v>
      </c>
      <c r="N7" s="28">
        <v>66</v>
      </c>
      <c r="O7" s="28">
        <f>SUM(Table5[[#This Row],[Math]:[Physics]])</f>
        <v>969</v>
      </c>
      <c r="P7" s="29">
        <f t="shared" si="0"/>
        <v>0.8075</v>
      </c>
    </row>
    <row r="8" spans="1:16" x14ac:dyDescent="0.3">
      <c r="A8" s="28">
        <v>6</v>
      </c>
      <c r="B8" s="28" t="s">
        <v>120</v>
      </c>
      <c r="C8" s="28">
        <v>92</v>
      </c>
      <c r="D8" s="28">
        <v>88</v>
      </c>
      <c r="E8" s="28">
        <v>82</v>
      </c>
      <c r="F8" s="28">
        <v>76</v>
      </c>
      <c r="G8" s="28">
        <v>94</v>
      </c>
      <c r="H8" s="28">
        <v>87</v>
      </c>
      <c r="I8" s="28">
        <v>91</v>
      </c>
      <c r="J8" s="28">
        <v>94</v>
      </c>
      <c r="K8" s="28">
        <v>76</v>
      </c>
      <c r="L8" s="28">
        <v>72</v>
      </c>
      <c r="M8" s="28">
        <v>73</v>
      </c>
      <c r="N8" s="28">
        <v>88</v>
      </c>
      <c r="O8" s="28">
        <f>SUM(Table5[[#This Row],[Math]:[Physics]])</f>
        <v>1013</v>
      </c>
      <c r="P8" s="29">
        <f t="shared" si="0"/>
        <v>0.84416666666666662</v>
      </c>
    </row>
    <row r="9" spans="1:16" x14ac:dyDescent="0.3">
      <c r="A9" s="28">
        <v>7</v>
      </c>
      <c r="B9" s="28" t="s">
        <v>121</v>
      </c>
      <c r="C9" s="28">
        <v>83</v>
      </c>
      <c r="D9" s="28">
        <v>75</v>
      </c>
      <c r="E9" s="28">
        <v>83</v>
      </c>
      <c r="F9" s="28">
        <v>68</v>
      </c>
      <c r="G9" s="28">
        <v>75</v>
      </c>
      <c r="H9" s="28">
        <v>80</v>
      </c>
      <c r="I9" s="28">
        <v>92</v>
      </c>
      <c r="J9" s="28">
        <v>68</v>
      </c>
      <c r="K9" s="28">
        <v>84</v>
      </c>
      <c r="L9" s="28">
        <v>92</v>
      </c>
      <c r="M9" s="28">
        <v>65</v>
      </c>
      <c r="N9" s="28">
        <v>68</v>
      </c>
      <c r="O9" s="28">
        <f>SUM(Table5[[#This Row],[Math]:[Physics]])</f>
        <v>933</v>
      </c>
      <c r="P9" s="29">
        <f t="shared" si="0"/>
        <v>0.77749999999999997</v>
      </c>
    </row>
    <row r="10" spans="1:16" x14ac:dyDescent="0.3">
      <c r="A10" s="28">
        <v>8</v>
      </c>
      <c r="B10" s="28" t="s">
        <v>122</v>
      </c>
      <c r="C10" s="28">
        <v>72</v>
      </c>
      <c r="D10" s="28">
        <v>94</v>
      </c>
      <c r="E10" s="28">
        <v>65</v>
      </c>
      <c r="F10" s="28">
        <v>78</v>
      </c>
      <c r="G10" s="28">
        <v>78</v>
      </c>
      <c r="H10" s="28">
        <v>90</v>
      </c>
      <c r="I10" s="28">
        <v>68</v>
      </c>
      <c r="J10" s="28">
        <v>74</v>
      </c>
      <c r="K10" s="28">
        <v>74</v>
      </c>
      <c r="L10" s="28">
        <v>84</v>
      </c>
      <c r="M10" s="28">
        <v>91</v>
      </c>
      <c r="N10" s="28">
        <v>77</v>
      </c>
      <c r="O10" s="28">
        <f>SUM(Table5[[#This Row],[Math]:[Physics]])</f>
        <v>945</v>
      </c>
      <c r="P10" s="29">
        <f t="shared" si="0"/>
        <v>0.78749999999999998</v>
      </c>
    </row>
    <row r="11" spans="1:16" x14ac:dyDescent="0.3">
      <c r="A11" s="28">
        <v>9</v>
      </c>
      <c r="B11" s="28" t="s">
        <v>218</v>
      </c>
      <c r="C11" s="28">
        <v>66</v>
      </c>
      <c r="D11" s="28">
        <v>81</v>
      </c>
      <c r="E11" s="28">
        <v>90</v>
      </c>
      <c r="F11" s="28">
        <v>94</v>
      </c>
      <c r="G11" s="28">
        <v>87</v>
      </c>
      <c r="H11" s="28">
        <v>94</v>
      </c>
      <c r="I11" s="28">
        <v>86</v>
      </c>
      <c r="J11" s="28">
        <v>90</v>
      </c>
      <c r="K11" s="28">
        <v>85</v>
      </c>
      <c r="L11" s="28">
        <v>79</v>
      </c>
      <c r="M11" s="28">
        <v>84</v>
      </c>
      <c r="N11" s="28">
        <v>86</v>
      </c>
      <c r="O11" s="28">
        <f>SUM(Table5[[#This Row],[Math]:[Physics]])</f>
        <v>1022</v>
      </c>
      <c r="P11" s="29">
        <f t="shared" si="0"/>
        <v>0.85166666666666668</v>
      </c>
    </row>
    <row r="12" spans="1:16" x14ac:dyDescent="0.3">
      <c r="A12" s="28">
        <v>10</v>
      </c>
      <c r="B12" s="28" t="s">
        <v>123</v>
      </c>
      <c r="C12" s="28">
        <v>88</v>
      </c>
      <c r="D12" s="28">
        <v>67</v>
      </c>
      <c r="E12" s="28">
        <v>71</v>
      </c>
      <c r="F12" s="28">
        <v>75</v>
      </c>
      <c r="G12" s="28">
        <v>74</v>
      </c>
      <c r="H12" s="28">
        <v>73</v>
      </c>
      <c r="I12" s="28">
        <v>65</v>
      </c>
      <c r="J12" s="28">
        <v>66</v>
      </c>
      <c r="K12" s="28">
        <v>71</v>
      </c>
      <c r="L12" s="28">
        <v>72</v>
      </c>
      <c r="M12" s="28">
        <v>82</v>
      </c>
      <c r="N12" s="28">
        <v>68</v>
      </c>
      <c r="O12" s="28">
        <f>SUM(Table5[[#This Row],[Math]:[Physics]])</f>
        <v>872</v>
      </c>
      <c r="P12" s="29">
        <f t="shared" si="0"/>
        <v>0.72666666666666668</v>
      </c>
    </row>
    <row r="13" spans="1:16" x14ac:dyDescent="0.3">
      <c r="A13" s="28">
        <v>11</v>
      </c>
      <c r="B13" s="28" t="s">
        <v>124</v>
      </c>
      <c r="C13" s="28">
        <v>88</v>
      </c>
      <c r="D13" s="28">
        <v>65</v>
      </c>
      <c r="E13" s="28">
        <v>83</v>
      </c>
      <c r="F13" s="28">
        <v>87</v>
      </c>
      <c r="G13" s="28">
        <v>90</v>
      </c>
      <c r="H13" s="28">
        <v>65</v>
      </c>
      <c r="I13" s="28">
        <v>89</v>
      </c>
      <c r="J13" s="28">
        <v>77</v>
      </c>
      <c r="K13" s="28">
        <v>69</v>
      </c>
      <c r="L13" s="28">
        <v>72</v>
      </c>
      <c r="M13" s="28">
        <v>84</v>
      </c>
      <c r="N13" s="28">
        <v>70</v>
      </c>
      <c r="O13" s="28">
        <f>SUM(Table5[[#This Row],[Math]:[Physics]])</f>
        <v>939</v>
      </c>
      <c r="P13" s="29">
        <f t="shared" si="0"/>
        <v>0.78249999999999997</v>
      </c>
    </row>
    <row r="14" spans="1:16" x14ac:dyDescent="0.3">
      <c r="A14" s="28">
        <v>12</v>
      </c>
      <c r="B14" s="28" t="s">
        <v>125</v>
      </c>
      <c r="C14" s="28">
        <v>82</v>
      </c>
      <c r="D14" s="28">
        <v>92</v>
      </c>
      <c r="E14" s="28">
        <v>73</v>
      </c>
      <c r="F14" s="28">
        <v>85</v>
      </c>
      <c r="G14" s="28">
        <v>88</v>
      </c>
      <c r="H14" s="28">
        <v>80</v>
      </c>
      <c r="I14" s="28">
        <v>74</v>
      </c>
      <c r="J14" s="28">
        <v>77</v>
      </c>
      <c r="K14" s="28">
        <v>94</v>
      </c>
      <c r="L14" s="28">
        <v>71</v>
      </c>
      <c r="M14" s="28">
        <v>73</v>
      </c>
      <c r="N14" s="28">
        <v>95</v>
      </c>
      <c r="O14" s="28">
        <f>SUM(Table5[[#This Row],[Math]:[Physics]])</f>
        <v>984</v>
      </c>
      <c r="P14" s="29">
        <f t="shared" si="0"/>
        <v>0.82</v>
      </c>
    </row>
    <row r="15" spans="1:16" x14ac:dyDescent="0.3">
      <c r="A15" s="28">
        <v>13</v>
      </c>
      <c r="B15" s="28" t="s">
        <v>98</v>
      </c>
      <c r="C15" s="28">
        <v>83</v>
      </c>
      <c r="D15" s="28">
        <v>89</v>
      </c>
      <c r="E15" s="28">
        <v>75</v>
      </c>
      <c r="F15" s="28">
        <v>91</v>
      </c>
      <c r="G15" s="28">
        <v>84</v>
      </c>
      <c r="H15" s="28">
        <v>69</v>
      </c>
      <c r="I15" s="28">
        <v>66</v>
      </c>
      <c r="J15" s="28">
        <v>93</v>
      </c>
      <c r="K15" s="28">
        <v>81</v>
      </c>
      <c r="L15" s="28">
        <v>67</v>
      </c>
      <c r="M15" s="28">
        <v>95</v>
      </c>
      <c r="N15" s="28">
        <v>69</v>
      </c>
      <c r="O15" s="28">
        <f>SUM(Table5[[#This Row],[Math]:[Physics]])</f>
        <v>962</v>
      </c>
      <c r="P15" s="29">
        <f t="shared" si="0"/>
        <v>0.80166666666666664</v>
      </c>
    </row>
    <row r="16" spans="1:16" x14ac:dyDescent="0.3">
      <c r="A16" s="28">
        <v>14</v>
      </c>
      <c r="B16" s="28" t="s">
        <v>126</v>
      </c>
      <c r="C16" s="28">
        <v>70</v>
      </c>
      <c r="D16" s="28">
        <v>83</v>
      </c>
      <c r="E16" s="28">
        <v>77</v>
      </c>
      <c r="F16" s="28">
        <v>90</v>
      </c>
      <c r="G16" s="28">
        <v>81</v>
      </c>
      <c r="H16" s="28">
        <v>91</v>
      </c>
      <c r="I16" s="28">
        <v>93</v>
      </c>
      <c r="J16" s="28">
        <v>77</v>
      </c>
      <c r="K16" s="28">
        <v>67</v>
      </c>
      <c r="L16" s="28">
        <v>71</v>
      </c>
      <c r="M16" s="28">
        <v>72</v>
      </c>
      <c r="N16" s="28">
        <v>68</v>
      </c>
      <c r="O16" s="28">
        <f>SUM(Table5[[#This Row],[Math]:[Physics]])</f>
        <v>940</v>
      </c>
      <c r="P16" s="29">
        <f t="shared" si="0"/>
        <v>0.78333333333333333</v>
      </c>
    </row>
    <row r="17" spans="1:16" x14ac:dyDescent="0.3">
      <c r="A17" s="28">
        <v>15</v>
      </c>
      <c r="B17" s="28" t="s">
        <v>127</v>
      </c>
      <c r="C17" s="28">
        <v>86</v>
      </c>
      <c r="D17" s="28">
        <v>81</v>
      </c>
      <c r="E17" s="28">
        <v>75</v>
      </c>
      <c r="F17" s="28">
        <v>71</v>
      </c>
      <c r="G17" s="28">
        <v>77</v>
      </c>
      <c r="H17" s="28">
        <v>78</v>
      </c>
      <c r="I17" s="28">
        <v>67</v>
      </c>
      <c r="J17" s="28">
        <v>91</v>
      </c>
      <c r="K17" s="28">
        <v>69</v>
      </c>
      <c r="L17" s="28">
        <v>68</v>
      </c>
      <c r="M17" s="28">
        <v>76</v>
      </c>
      <c r="N17" s="28">
        <v>90</v>
      </c>
      <c r="O17" s="28">
        <f>SUM(Table5[[#This Row],[Math]:[Physics]])</f>
        <v>929</v>
      </c>
      <c r="P17" s="29">
        <f t="shared" si="0"/>
        <v>0.77416666666666667</v>
      </c>
    </row>
    <row r="18" spans="1:16" x14ac:dyDescent="0.3">
      <c r="A18" s="28">
        <v>16</v>
      </c>
      <c r="B18" s="28" t="s">
        <v>101</v>
      </c>
      <c r="C18" s="28">
        <v>89</v>
      </c>
      <c r="D18" s="28">
        <v>67</v>
      </c>
      <c r="E18" s="28">
        <v>75</v>
      </c>
      <c r="F18" s="28">
        <v>77</v>
      </c>
      <c r="G18" s="28">
        <v>77</v>
      </c>
      <c r="H18" s="28">
        <v>84</v>
      </c>
      <c r="I18" s="28">
        <v>92</v>
      </c>
      <c r="J18" s="28">
        <v>85</v>
      </c>
      <c r="K18" s="28">
        <v>79</v>
      </c>
      <c r="L18" s="28">
        <v>80</v>
      </c>
      <c r="M18" s="28">
        <v>94</v>
      </c>
      <c r="N18" s="28">
        <v>69</v>
      </c>
      <c r="O18" s="28">
        <f>SUM(Table5[[#This Row],[Math]:[Physics]])</f>
        <v>968</v>
      </c>
      <c r="P18" s="29">
        <f t="shared" si="0"/>
        <v>0.80666666666666664</v>
      </c>
    </row>
    <row r="19" spans="1:16" x14ac:dyDescent="0.3">
      <c r="A19" s="28">
        <v>17</v>
      </c>
      <c r="B19" s="28" t="s">
        <v>128</v>
      </c>
      <c r="C19" s="28">
        <v>88</v>
      </c>
      <c r="D19" s="28">
        <v>76</v>
      </c>
      <c r="E19" s="28">
        <v>90</v>
      </c>
      <c r="F19" s="28">
        <v>66</v>
      </c>
      <c r="G19" s="28">
        <v>86</v>
      </c>
      <c r="H19" s="28">
        <v>81</v>
      </c>
      <c r="I19" s="28">
        <v>85</v>
      </c>
      <c r="J19" s="28">
        <v>86</v>
      </c>
      <c r="K19" s="28">
        <v>93</v>
      </c>
      <c r="L19" s="28">
        <v>74</v>
      </c>
      <c r="M19" s="28">
        <v>90</v>
      </c>
      <c r="N19" s="28">
        <v>75</v>
      </c>
      <c r="O19" s="28">
        <f>SUM(Table5[[#This Row],[Math]:[Physics]])</f>
        <v>990</v>
      </c>
      <c r="P19" s="29">
        <f t="shared" si="0"/>
        <v>0.82499999999999996</v>
      </c>
    </row>
    <row r="20" spans="1:16" x14ac:dyDescent="0.3">
      <c r="A20" s="28">
        <v>18</v>
      </c>
      <c r="B20" s="28" t="s">
        <v>129</v>
      </c>
      <c r="C20" s="28">
        <v>77</v>
      </c>
      <c r="D20" s="28">
        <v>69</v>
      </c>
      <c r="E20" s="28">
        <v>66</v>
      </c>
      <c r="F20" s="28">
        <v>85</v>
      </c>
      <c r="G20" s="28">
        <v>65</v>
      </c>
      <c r="H20" s="28">
        <v>95</v>
      </c>
      <c r="I20" s="28">
        <v>87</v>
      </c>
      <c r="J20" s="28">
        <v>89</v>
      </c>
      <c r="K20" s="28">
        <v>91</v>
      </c>
      <c r="L20" s="28">
        <v>80</v>
      </c>
      <c r="M20" s="28">
        <v>75</v>
      </c>
      <c r="N20" s="28">
        <v>66</v>
      </c>
      <c r="O20" s="28">
        <f>SUM(Table5[[#This Row],[Math]:[Physics]])</f>
        <v>945</v>
      </c>
      <c r="P20" s="29">
        <f t="shared" si="0"/>
        <v>0.78749999999999998</v>
      </c>
    </row>
    <row r="21" spans="1:16" x14ac:dyDescent="0.3">
      <c r="A21" s="28">
        <v>19</v>
      </c>
      <c r="B21" s="28" t="s">
        <v>130</v>
      </c>
      <c r="C21" s="28">
        <v>94</v>
      </c>
      <c r="D21" s="28">
        <v>65</v>
      </c>
      <c r="E21" s="28">
        <v>86</v>
      </c>
      <c r="F21" s="28">
        <v>89</v>
      </c>
      <c r="G21" s="28">
        <v>78</v>
      </c>
      <c r="H21" s="28">
        <v>94</v>
      </c>
      <c r="I21" s="28">
        <v>95</v>
      </c>
      <c r="J21" s="28">
        <v>86</v>
      </c>
      <c r="K21" s="28">
        <v>74</v>
      </c>
      <c r="L21" s="28">
        <v>76</v>
      </c>
      <c r="M21" s="28">
        <v>73</v>
      </c>
      <c r="N21" s="28">
        <v>67</v>
      </c>
      <c r="O21" s="28">
        <f>SUM(Table5[[#This Row],[Math]:[Physics]])</f>
        <v>977</v>
      </c>
      <c r="P21" s="29">
        <f t="shared" si="0"/>
        <v>0.81416666666666671</v>
      </c>
    </row>
    <row r="22" spans="1:16" x14ac:dyDescent="0.3">
      <c r="A22" s="28">
        <v>20</v>
      </c>
      <c r="B22" s="28" t="s">
        <v>131</v>
      </c>
      <c r="C22" s="28">
        <v>77</v>
      </c>
      <c r="D22" s="28">
        <v>88</v>
      </c>
      <c r="E22" s="28">
        <v>87</v>
      </c>
      <c r="F22" s="28">
        <v>71</v>
      </c>
      <c r="G22" s="28">
        <v>83</v>
      </c>
      <c r="H22" s="28">
        <v>93</v>
      </c>
      <c r="I22" s="28">
        <v>81</v>
      </c>
      <c r="J22" s="28">
        <v>79</v>
      </c>
      <c r="K22" s="28">
        <v>86</v>
      </c>
      <c r="L22" s="28">
        <v>83</v>
      </c>
      <c r="M22" s="28">
        <v>67</v>
      </c>
      <c r="N22" s="28">
        <v>70</v>
      </c>
      <c r="O22" s="28">
        <f>SUM(Table5[[#This Row],[Math]:[Physics]])</f>
        <v>965</v>
      </c>
      <c r="P22" s="29">
        <f t="shared" si="0"/>
        <v>0.8041666666666667</v>
      </c>
    </row>
    <row r="23" spans="1:16" x14ac:dyDescent="0.3">
      <c r="A23" s="28">
        <v>21</v>
      </c>
      <c r="B23" s="28" t="s">
        <v>132</v>
      </c>
      <c r="C23" s="28">
        <v>71</v>
      </c>
      <c r="D23" s="28">
        <v>82</v>
      </c>
      <c r="E23" s="28">
        <v>74</v>
      </c>
      <c r="F23" s="28">
        <v>82</v>
      </c>
      <c r="G23" s="28">
        <v>73</v>
      </c>
      <c r="H23" s="28">
        <v>74</v>
      </c>
      <c r="I23" s="28">
        <v>72</v>
      </c>
      <c r="J23" s="28">
        <v>72</v>
      </c>
      <c r="K23" s="28">
        <v>68</v>
      </c>
      <c r="L23" s="28">
        <v>75</v>
      </c>
      <c r="M23" s="28">
        <v>67</v>
      </c>
      <c r="N23" s="28">
        <v>79</v>
      </c>
      <c r="O23" s="28">
        <f>SUM(Table5[[#This Row],[Math]:[Physics]])</f>
        <v>889</v>
      </c>
      <c r="P23" s="29">
        <f t="shared" si="0"/>
        <v>0.74083333333333334</v>
      </c>
    </row>
    <row r="24" spans="1:16" x14ac:dyDescent="0.3">
      <c r="A24" s="28">
        <v>22</v>
      </c>
      <c r="B24" s="28" t="s">
        <v>133</v>
      </c>
      <c r="C24" s="28">
        <v>65</v>
      </c>
      <c r="D24" s="28">
        <v>66</v>
      </c>
      <c r="E24" s="28">
        <v>85</v>
      </c>
      <c r="F24" s="28">
        <v>89</v>
      </c>
      <c r="G24" s="28">
        <v>82</v>
      </c>
      <c r="H24" s="28">
        <v>85</v>
      </c>
      <c r="I24" s="28">
        <v>72</v>
      </c>
      <c r="J24" s="28">
        <v>83</v>
      </c>
      <c r="K24" s="28">
        <v>72</v>
      </c>
      <c r="L24" s="28">
        <v>73</v>
      </c>
      <c r="M24" s="28">
        <v>82</v>
      </c>
      <c r="N24" s="28">
        <v>90</v>
      </c>
      <c r="O24" s="28">
        <f>SUM(Table5[[#This Row],[Math]:[Physics]])</f>
        <v>944</v>
      </c>
      <c r="P24" s="29">
        <f t="shared" si="0"/>
        <v>0.78666666666666663</v>
      </c>
    </row>
    <row r="25" spans="1:16" x14ac:dyDescent="0.3">
      <c r="A25" s="28">
        <v>23</v>
      </c>
      <c r="B25" s="28" t="s">
        <v>134</v>
      </c>
      <c r="C25" s="28">
        <v>84</v>
      </c>
      <c r="D25" s="28">
        <v>68</v>
      </c>
      <c r="E25" s="28">
        <v>78</v>
      </c>
      <c r="F25" s="28">
        <v>94</v>
      </c>
      <c r="G25" s="28">
        <v>83</v>
      </c>
      <c r="H25" s="28">
        <v>90</v>
      </c>
      <c r="I25" s="28">
        <v>78</v>
      </c>
      <c r="J25" s="28">
        <v>90</v>
      </c>
      <c r="K25" s="28">
        <v>65</v>
      </c>
      <c r="L25" s="28">
        <v>78</v>
      </c>
      <c r="M25" s="28">
        <v>78</v>
      </c>
      <c r="N25" s="28">
        <v>70</v>
      </c>
      <c r="O25" s="28">
        <f>SUM(Table5[[#This Row],[Math]:[Physics]])</f>
        <v>956</v>
      </c>
      <c r="P25" s="29">
        <f t="shared" si="0"/>
        <v>0.79666666666666663</v>
      </c>
    </row>
    <row r="26" spans="1:16" x14ac:dyDescent="0.3">
      <c r="A26" s="28">
        <v>24</v>
      </c>
      <c r="B26" s="28" t="s">
        <v>135</v>
      </c>
      <c r="C26" s="28">
        <v>82</v>
      </c>
      <c r="D26" s="28">
        <v>80</v>
      </c>
      <c r="E26" s="28">
        <v>66</v>
      </c>
      <c r="F26" s="28">
        <v>78</v>
      </c>
      <c r="G26" s="28">
        <v>75</v>
      </c>
      <c r="H26" s="28">
        <v>83</v>
      </c>
      <c r="I26" s="28">
        <v>72</v>
      </c>
      <c r="J26" s="28">
        <v>93</v>
      </c>
      <c r="K26" s="28">
        <v>83</v>
      </c>
      <c r="L26" s="28">
        <v>71</v>
      </c>
      <c r="M26" s="28">
        <v>72</v>
      </c>
      <c r="N26" s="28">
        <v>80</v>
      </c>
      <c r="O26" s="28">
        <f>SUM(Table5[[#This Row],[Math]:[Physics]])</f>
        <v>935</v>
      </c>
      <c r="P26" s="29">
        <f t="shared" si="0"/>
        <v>0.77916666666666667</v>
      </c>
    </row>
    <row r="27" spans="1:16" x14ac:dyDescent="0.3">
      <c r="A27" s="28">
        <v>25</v>
      </c>
      <c r="B27" s="28" t="s">
        <v>31</v>
      </c>
      <c r="C27" s="28">
        <v>69</v>
      </c>
      <c r="D27" s="28">
        <v>66</v>
      </c>
      <c r="E27" s="28">
        <v>85</v>
      </c>
      <c r="F27" s="28">
        <v>73</v>
      </c>
      <c r="G27" s="28">
        <v>82</v>
      </c>
      <c r="H27" s="28">
        <v>93</v>
      </c>
      <c r="I27" s="28">
        <v>68</v>
      </c>
      <c r="J27" s="28">
        <v>65</v>
      </c>
      <c r="K27" s="28">
        <v>69</v>
      </c>
      <c r="L27" s="28">
        <v>80</v>
      </c>
      <c r="M27" s="28">
        <v>81</v>
      </c>
      <c r="N27" s="28">
        <v>79</v>
      </c>
      <c r="O27" s="28">
        <f>SUM(Table5[[#This Row],[Math]:[Physics]])</f>
        <v>910</v>
      </c>
      <c r="P27" s="29">
        <f t="shared" si="0"/>
        <v>0.7583333333333333</v>
      </c>
    </row>
    <row r="28" spans="1:16" x14ac:dyDescent="0.3">
      <c r="A28" s="28">
        <v>26</v>
      </c>
      <c r="B28" s="28" t="s">
        <v>136</v>
      </c>
      <c r="C28" s="28">
        <v>87</v>
      </c>
      <c r="D28" s="28">
        <v>84</v>
      </c>
      <c r="E28" s="28">
        <v>91</v>
      </c>
      <c r="F28" s="28">
        <v>81</v>
      </c>
      <c r="G28" s="28">
        <v>92</v>
      </c>
      <c r="H28" s="28">
        <v>81</v>
      </c>
      <c r="I28" s="28">
        <v>82</v>
      </c>
      <c r="J28" s="28">
        <v>69</v>
      </c>
      <c r="K28" s="28">
        <v>70</v>
      </c>
      <c r="L28" s="28">
        <v>79</v>
      </c>
      <c r="M28" s="28">
        <v>67</v>
      </c>
      <c r="N28" s="28">
        <v>77</v>
      </c>
      <c r="O28" s="28">
        <f>SUM(Table5[[#This Row],[Math]:[Physics]])</f>
        <v>960</v>
      </c>
      <c r="P28" s="29">
        <f t="shared" si="0"/>
        <v>0.8</v>
      </c>
    </row>
    <row r="29" spans="1:16" x14ac:dyDescent="0.3">
      <c r="A29" s="28">
        <v>27</v>
      </c>
      <c r="B29" s="28" t="s">
        <v>112</v>
      </c>
      <c r="C29" s="28">
        <v>83</v>
      </c>
      <c r="D29" s="28">
        <v>84</v>
      </c>
      <c r="E29" s="28">
        <v>90</v>
      </c>
      <c r="F29" s="28">
        <v>68</v>
      </c>
      <c r="G29" s="28">
        <v>92</v>
      </c>
      <c r="H29" s="28">
        <v>65</v>
      </c>
      <c r="I29" s="28">
        <v>92</v>
      </c>
      <c r="J29" s="28">
        <v>68</v>
      </c>
      <c r="K29" s="28">
        <v>81</v>
      </c>
      <c r="L29" s="28">
        <v>94</v>
      </c>
      <c r="M29" s="28">
        <v>75</v>
      </c>
      <c r="N29" s="28">
        <v>85</v>
      </c>
      <c r="O29" s="28">
        <f>SUM(Table5[[#This Row],[Math]:[Physics]])</f>
        <v>977</v>
      </c>
      <c r="P29" s="29">
        <f t="shared" si="0"/>
        <v>0.81416666666666671</v>
      </c>
    </row>
    <row r="30" spans="1:16" x14ac:dyDescent="0.3">
      <c r="A30" s="28">
        <v>28</v>
      </c>
      <c r="B30" s="28" t="s">
        <v>137</v>
      </c>
      <c r="C30" s="28">
        <v>76</v>
      </c>
      <c r="D30" s="28">
        <v>80</v>
      </c>
      <c r="E30" s="28">
        <v>92</v>
      </c>
      <c r="F30" s="28">
        <v>75</v>
      </c>
      <c r="G30" s="28">
        <v>66</v>
      </c>
      <c r="H30" s="28">
        <v>85</v>
      </c>
      <c r="I30" s="28">
        <v>82</v>
      </c>
      <c r="J30" s="28">
        <v>94</v>
      </c>
      <c r="K30" s="28">
        <v>94</v>
      </c>
      <c r="L30" s="28">
        <v>83</v>
      </c>
      <c r="M30" s="28">
        <v>83</v>
      </c>
      <c r="N30" s="28">
        <v>66</v>
      </c>
      <c r="O30" s="28">
        <f>SUM(Table5[[#This Row],[Math]:[Physics]])</f>
        <v>976</v>
      </c>
      <c r="P30" s="29">
        <f t="shared" si="0"/>
        <v>0.81333333333333335</v>
      </c>
    </row>
    <row r="31" spans="1:16" x14ac:dyDescent="0.3">
      <c r="A31" s="28">
        <v>29</v>
      </c>
      <c r="B31" s="28" t="s">
        <v>138</v>
      </c>
      <c r="C31" s="28">
        <v>95</v>
      </c>
      <c r="D31" s="28">
        <v>75</v>
      </c>
      <c r="E31" s="28">
        <v>83</v>
      </c>
      <c r="F31" s="28">
        <v>72</v>
      </c>
      <c r="G31" s="28">
        <v>85</v>
      </c>
      <c r="H31" s="28">
        <v>68</v>
      </c>
      <c r="I31" s="28">
        <v>92</v>
      </c>
      <c r="J31" s="28">
        <v>66</v>
      </c>
      <c r="K31" s="28">
        <v>87</v>
      </c>
      <c r="L31" s="28">
        <v>65</v>
      </c>
      <c r="M31" s="28">
        <v>73</v>
      </c>
      <c r="N31" s="28">
        <v>75</v>
      </c>
      <c r="O31" s="28">
        <f>SUM(Table5[[#This Row],[Math]:[Physics]])</f>
        <v>936</v>
      </c>
      <c r="P31" s="29">
        <f t="shared" si="0"/>
        <v>0.78</v>
      </c>
    </row>
    <row r="32" spans="1:16" x14ac:dyDescent="0.3">
      <c r="A32" s="28">
        <v>30</v>
      </c>
      <c r="B32" s="28" t="s">
        <v>139</v>
      </c>
      <c r="C32" s="28">
        <v>77</v>
      </c>
      <c r="D32" s="28">
        <v>93</v>
      </c>
      <c r="E32" s="28">
        <v>76</v>
      </c>
      <c r="F32" s="28">
        <v>72</v>
      </c>
      <c r="G32" s="28">
        <v>65</v>
      </c>
      <c r="H32" s="28">
        <v>94</v>
      </c>
      <c r="I32" s="28">
        <v>66</v>
      </c>
      <c r="J32" s="28">
        <v>65</v>
      </c>
      <c r="K32" s="28">
        <v>66</v>
      </c>
      <c r="L32" s="28">
        <v>71</v>
      </c>
      <c r="M32" s="28">
        <v>89</v>
      </c>
      <c r="N32" s="28">
        <v>88</v>
      </c>
      <c r="O32" s="28">
        <f>SUM(Table5[[#This Row],[Math]:[Physics]])</f>
        <v>922</v>
      </c>
      <c r="P32" s="29">
        <f t="shared" si="0"/>
        <v>0.76833333333333331</v>
      </c>
    </row>
  </sheetData>
  <mergeCells count="1">
    <mergeCell ref="A1:P1"/>
  </mergeCells>
  <conditionalFormatting sqref="P2">
    <cfRule type="dataBar" priority="1">
      <dataBar>
        <cfvo type="min"/>
        <cfvo type="max"/>
        <color rgb="FF008AEF"/>
      </dataBar>
      <extLst>
        <ext xmlns:x14="http://schemas.microsoft.com/office/spreadsheetml/2009/9/main" uri="{B025F937-C7B1-47D3-B67F-A62EFF666E3E}">
          <x14:id>{4B05D33A-0323-460F-B728-E3150239F7A0}</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B05D33A-0323-460F-B728-E3150239F7A0}">
            <x14:dataBar minLength="0" maxLength="100" gradient="0">
              <x14:cfvo type="autoMin"/>
              <x14:cfvo type="autoMax"/>
              <x14:negativeFillColor rgb="FFFF0000"/>
              <x14:axisColor rgb="FF000000"/>
            </x14:dataBar>
          </x14:cfRule>
          <xm:sqref>P2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E9A2-4970-4EF0-88E0-D7067D996751}">
  <sheetPr>
    <tabColor theme="5" tint="0.39997558519241921"/>
  </sheetPr>
  <dimension ref="A1:P32"/>
  <sheetViews>
    <sheetView workbookViewId="0">
      <selection activeCell="B2" sqref="B2"/>
    </sheetView>
  </sheetViews>
  <sheetFormatPr defaultRowHeight="14.4" x14ac:dyDescent="0.3"/>
  <cols>
    <col min="1" max="1" width="11.77734375" customWidth="1"/>
    <col min="2" max="2" width="13.77734375" bestFit="1" customWidth="1"/>
    <col min="4" max="4" width="9.21875" customWidth="1"/>
    <col min="7" max="7" width="16.5546875" customWidth="1"/>
    <col min="8" max="8" width="11.88671875" customWidth="1"/>
    <col min="9" max="9" width="12.109375" customWidth="1"/>
    <col min="11" max="11" width="18.109375" customWidth="1"/>
    <col min="13" max="13" width="11.33203125" customWidth="1"/>
    <col min="14" max="14" width="9" customWidth="1"/>
    <col min="16" max="16" width="8.88671875" style="15"/>
  </cols>
  <sheetData>
    <row r="1" spans="1:16" ht="23.4" x14ac:dyDescent="0.45">
      <c r="A1" s="44" t="s">
        <v>233</v>
      </c>
      <c r="B1" s="44"/>
      <c r="C1" s="44"/>
      <c r="D1" s="44"/>
      <c r="E1" s="44"/>
      <c r="F1" s="44"/>
      <c r="G1" s="44"/>
      <c r="H1" s="44"/>
      <c r="I1" s="44"/>
      <c r="J1" s="44"/>
      <c r="K1" s="44"/>
      <c r="L1" s="44"/>
      <c r="M1" s="44"/>
      <c r="N1" s="44"/>
      <c r="O1" s="44"/>
      <c r="P1" s="44"/>
    </row>
    <row r="2" spans="1:16" x14ac:dyDescent="0.3">
      <c r="A2" t="s">
        <v>12</v>
      </c>
      <c r="B2" t="s">
        <v>0</v>
      </c>
      <c r="C2" t="s">
        <v>2</v>
      </c>
      <c r="D2" t="s">
        <v>3</v>
      </c>
      <c r="E2" t="s">
        <v>4</v>
      </c>
      <c r="F2" t="s">
        <v>5</v>
      </c>
      <c r="G2" t="s">
        <v>6</v>
      </c>
      <c r="H2" t="s">
        <v>7</v>
      </c>
      <c r="I2" t="s">
        <v>8</v>
      </c>
      <c r="J2" t="s">
        <v>9</v>
      </c>
      <c r="K2" t="s">
        <v>10</v>
      </c>
      <c r="L2" t="s">
        <v>11</v>
      </c>
      <c r="M2" t="s">
        <v>40</v>
      </c>
      <c r="N2" t="s">
        <v>41</v>
      </c>
      <c r="O2" t="s">
        <v>48</v>
      </c>
      <c r="P2" s="1" t="s">
        <v>49</v>
      </c>
    </row>
    <row r="3" spans="1:16" x14ac:dyDescent="0.3">
      <c r="A3" s="28">
        <v>1</v>
      </c>
      <c r="B3" s="28" t="s">
        <v>140</v>
      </c>
      <c r="C3" s="28">
        <v>82</v>
      </c>
      <c r="D3" s="28">
        <v>74</v>
      </c>
      <c r="E3" s="28">
        <v>94</v>
      </c>
      <c r="F3" s="28">
        <v>93</v>
      </c>
      <c r="G3" s="28">
        <v>81</v>
      </c>
      <c r="H3" s="28">
        <v>70</v>
      </c>
      <c r="I3" s="28">
        <v>74</v>
      </c>
      <c r="J3" s="28">
        <v>95</v>
      </c>
      <c r="K3" s="28">
        <v>71</v>
      </c>
      <c r="L3" s="28">
        <v>82</v>
      </c>
      <c r="M3" s="28">
        <v>69</v>
      </c>
      <c r="N3" s="28">
        <v>84</v>
      </c>
      <c r="O3" s="28">
        <f>SUM(Table6[[#This Row],[Math]:[Physics]])</f>
        <v>969</v>
      </c>
      <c r="P3" s="29">
        <f t="shared" ref="P3:P32" si="0">SUM(C3:N3)/1200</f>
        <v>0.8075</v>
      </c>
    </row>
    <row r="4" spans="1:16" x14ac:dyDescent="0.3">
      <c r="A4" s="28">
        <v>2</v>
      </c>
      <c r="B4" s="28" t="s">
        <v>43</v>
      </c>
      <c r="C4" s="28">
        <v>94</v>
      </c>
      <c r="D4" s="28">
        <v>75</v>
      </c>
      <c r="E4" s="28">
        <v>87</v>
      </c>
      <c r="F4" s="28">
        <v>65</v>
      </c>
      <c r="G4" s="28">
        <v>89</v>
      </c>
      <c r="H4" s="28">
        <v>72</v>
      </c>
      <c r="I4" s="28">
        <v>67</v>
      </c>
      <c r="J4" s="28">
        <v>88</v>
      </c>
      <c r="K4" s="28">
        <v>93</v>
      </c>
      <c r="L4" s="28">
        <v>72</v>
      </c>
      <c r="M4" s="28">
        <v>80</v>
      </c>
      <c r="N4" s="28">
        <v>67</v>
      </c>
      <c r="O4" s="28">
        <f>SUM(Table6[[#This Row],[Math]:[Physics]])</f>
        <v>949</v>
      </c>
      <c r="P4" s="29">
        <f t="shared" si="0"/>
        <v>0.79083333333333339</v>
      </c>
    </row>
    <row r="5" spans="1:16" x14ac:dyDescent="0.3">
      <c r="A5" s="28">
        <v>3</v>
      </c>
      <c r="B5" s="28" t="s">
        <v>28</v>
      </c>
      <c r="C5" s="28">
        <v>74</v>
      </c>
      <c r="D5" s="28">
        <v>85</v>
      </c>
      <c r="E5" s="28">
        <v>77</v>
      </c>
      <c r="F5" s="28">
        <v>91</v>
      </c>
      <c r="G5" s="28">
        <v>85</v>
      </c>
      <c r="H5" s="28">
        <v>71</v>
      </c>
      <c r="I5" s="28">
        <v>81</v>
      </c>
      <c r="J5" s="28">
        <v>91</v>
      </c>
      <c r="K5" s="28">
        <v>73</v>
      </c>
      <c r="L5" s="28">
        <v>85</v>
      </c>
      <c r="M5" s="28">
        <v>88</v>
      </c>
      <c r="N5" s="28">
        <v>70</v>
      </c>
      <c r="O5" s="28">
        <f>SUM(Table6[[#This Row],[Math]:[Physics]])</f>
        <v>971</v>
      </c>
      <c r="P5" s="29">
        <f t="shared" si="0"/>
        <v>0.8091666666666667</v>
      </c>
    </row>
    <row r="6" spans="1:16" x14ac:dyDescent="0.3">
      <c r="A6" s="28">
        <v>4</v>
      </c>
      <c r="B6" s="28" t="s">
        <v>141</v>
      </c>
      <c r="C6" s="28">
        <v>82</v>
      </c>
      <c r="D6" s="28">
        <v>70</v>
      </c>
      <c r="E6" s="28">
        <v>87</v>
      </c>
      <c r="F6" s="28">
        <v>80</v>
      </c>
      <c r="G6" s="28">
        <v>89</v>
      </c>
      <c r="H6" s="28">
        <v>86</v>
      </c>
      <c r="I6" s="28">
        <v>79</v>
      </c>
      <c r="J6" s="28">
        <v>81</v>
      </c>
      <c r="K6" s="28">
        <v>66</v>
      </c>
      <c r="L6" s="28">
        <v>90</v>
      </c>
      <c r="M6" s="28">
        <v>72</v>
      </c>
      <c r="N6" s="28">
        <v>90</v>
      </c>
      <c r="O6" s="28">
        <f>SUM(Table6[[#This Row],[Math]:[Physics]])</f>
        <v>972</v>
      </c>
      <c r="P6" s="29">
        <f t="shared" si="0"/>
        <v>0.81</v>
      </c>
    </row>
    <row r="7" spans="1:16" x14ac:dyDescent="0.3">
      <c r="A7" s="28">
        <v>5</v>
      </c>
      <c r="B7" s="28" t="s">
        <v>142</v>
      </c>
      <c r="C7" s="28">
        <v>69</v>
      </c>
      <c r="D7" s="28">
        <v>74</v>
      </c>
      <c r="E7" s="28">
        <v>73</v>
      </c>
      <c r="F7" s="28">
        <v>75</v>
      </c>
      <c r="G7" s="28">
        <v>82</v>
      </c>
      <c r="H7" s="28">
        <v>88</v>
      </c>
      <c r="I7" s="28">
        <v>77</v>
      </c>
      <c r="J7" s="28">
        <v>86</v>
      </c>
      <c r="K7" s="28">
        <v>76</v>
      </c>
      <c r="L7" s="28">
        <v>72</v>
      </c>
      <c r="M7" s="28">
        <v>86</v>
      </c>
      <c r="N7" s="28">
        <v>76</v>
      </c>
      <c r="O7" s="28">
        <f>SUM(Table6[[#This Row],[Math]:[Physics]])</f>
        <v>934</v>
      </c>
      <c r="P7" s="29">
        <f t="shared" si="0"/>
        <v>0.77833333333333332</v>
      </c>
    </row>
    <row r="8" spans="1:16" x14ac:dyDescent="0.3">
      <c r="A8" s="28">
        <v>6</v>
      </c>
      <c r="B8" s="28" t="s">
        <v>143</v>
      </c>
      <c r="C8" s="28">
        <v>69</v>
      </c>
      <c r="D8" s="28">
        <v>68</v>
      </c>
      <c r="E8" s="28">
        <v>74</v>
      </c>
      <c r="F8" s="28">
        <v>90</v>
      </c>
      <c r="G8" s="28">
        <v>95</v>
      </c>
      <c r="H8" s="28">
        <v>93</v>
      </c>
      <c r="I8" s="28">
        <v>74</v>
      </c>
      <c r="J8" s="28">
        <v>86</v>
      </c>
      <c r="K8" s="28">
        <v>92</v>
      </c>
      <c r="L8" s="28">
        <v>89</v>
      </c>
      <c r="M8" s="28">
        <v>85</v>
      </c>
      <c r="N8" s="28">
        <v>86</v>
      </c>
      <c r="O8" s="28">
        <f>SUM(Table6[[#This Row],[Math]:[Physics]])</f>
        <v>1001</v>
      </c>
      <c r="P8" s="29">
        <f t="shared" si="0"/>
        <v>0.83416666666666661</v>
      </c>
    </row>
    <row r="9" spans="1:16" x14ac:dyDescent="0.3">
      <c r="A9" s="28">
        <v>7</v>
      </c>
      <c r="B9" s="28" t="s">
        <v>144</v>
      </c>
      <c r="C9" s="28">
        <v>89</v>
      </c>
      <c r="D9" s="28">
        <v>69</v>
      </c>
      <c r="E9" s="28">
        <v>84</v>
      </c>
      <c r="F9" s="28">
        <v>68</v>
      </c>
      <c r="G9" s="28">
        <v>75</v>
      </c>
      <c r="H9" s="28">
        <v>93</v>
      </c>
      <c r="I9" s="28">
        <v>81</v>
      </c>
      <c r="J9" s="28">
        <v>79</v>
      </c>
      <c r="K9" s="28">
        <v>90</v>
      </c>
      <c r="L9" s="28">
        <v>71</v>
      </c>
      <c r="M9" s="28">
        <v>69</v>
      </c>
      <c r="N9" s="28">
        <v>95</v>
      </c>
      <c r="O9" s="28">
        <f>SUM(Table6[[#This Row],[Math]:[Physics]])</f>
        <v>963</v>
      </c>
      <c r="P9" s="29">
        <f t="shared" si="0"/>
        <v>0.80249999999999999</v>
      </c>
    </row>
    <row r="10" spans="1:16" x14ac:dyDescent="0.3">
      <c r="A10" s="28">
        <v>8</v>
      </c>
      <c r="B10" s="28" t="s">
        <v>122</v>
      </c>
      <c r="C10" s="28">
        <v>66</v>
      </c>
      <c r="D10" s="28">
        <v>81</v>
      </c>
      <c r="E10" s="28">
        <v>70</v>
      </c>
      <c r="F10" s="28">
        <v>73</v>
      </c>
      <c r="G10" s="28">
        <v>71</v>
      </c>
      <c r="H10" s="28">
        <v>76</v>
      </c>
      <c r="I10" s="28">
        <v>81</v>
      </c>
      <c r="J10" s="28">
        <v>82</v>
      </c>
      <c r="K10" s="28">
        <v>87</v>
      </c>
      <c r="L10" s="28">
        <v>95</v>
      </c>
      <c r="M10" s="28">
        <v>93</v>
      </c>
      <c r="N10" s="28">
        <v>72</v>
      </c>
      <c r="O10" s="28">
        <f>SUM(Table6[[#This Row],[Math]:[Physics]])</f>
        <v>947</v>
      </c>
      <c r="P10" s="29">
        <f t="shared" si="0"/>
        <v>0.78916666666666668</v>
      </c>
    </row>
    <row r="11" spans="1:16" x14ac:dyDescent="0.3">
      <c r="A11" s="28">
        <v>9</v>
      </c>
      <c r="B11" s="28" t="s">
        <v>145</v>
      </c>
      <c r="C11" s="28">
        <v>70</v>
      </c>
      <c r="D11" s="28">
        <v>81</v>
      </c>
      <c r="E11" s="28">
        <v>82</v>
      </c>
      <c r="F11" s="28">
        <v>79</v>
      </c>
      <c r="G11" s="28">
        <v>92</v>
      </c>
      <c r="H11" s="28">
        <v>80</v>
      </c>
      <c r="I11" s="28">
        <v>76</v>
      </c>
      <c r="J11" s="28">
        <v>85</v>
      </c>
      <c r="K11" s="28">
        <v>76</v>
      </c>
      <c r="L11" s="28">
        <v>83</v>
      </c>
      <c r="M11" s="28">
        <v>86</v>
      </c>
      <c r="N11" s="28">
        <v>77</v>
      </c>
      <c r="O11" s="28">
        <f>SUM(Table6[[#This Row],[Math]:[Physics]])</f>
        <v>967</v>
      </c>
      <c r="P11" s="29">
        <f t="shared" si="0"/>
        <v>0.80583333333333329</v>
      </c>
    </row>
    <row r="12" spans="1:16" x14ac:dyDescent="0.3">
      <c r="A12" s="28">
        <v>10</v>
      </c>
      <c r="B12" s="28" t="s">
        <v>95</v>
      </c>
      <c r="C12" s="28">
        <v>73</v>
      </c>
      <c r="D12" s="28">
        <v>70</v>
      </c>
      <c r="E12" s="28">
        <v>83</v>
      </c>
      <c r="F12" s="28">
        <v>76</v>
      </c>
      <c r="G12" s="28">
        <v>95</v>
      </c>
      <c r="H12" s="28">
        <v>81</v>
      </c>
      <c r="I12" s="28">
        <v>73</v>
      </c>
      <c r="J12" s="28">
        <v>86</v>
      </c>
      <c r="K12" s="28">
        <v>76</v>
      </c>
      <c r="L12" s="28">
        <v>84</v>
      </c>
      <c r="M12" s="28">
        <v>95</v>
      </c>
      <c r="N12" s="28">
        <v>87</v>
      </c>
      <c r="O12" s="28">
        <f>SUM(Table6[[#This Row],[Math]:[Physics]])</f>
        <v>979</v>
      </c>
      <c r="P12" s="29">
        <f t="shared" si="0"/>
        <v>0.8158333333333333</v>
      </c>
    </row>
    <row r="13" spans="1:16" x14ac:dyDescent="0.3">
      <c r="A13" s="28">
        <v>11</v>
      </c>
      <c r="B13" s="28" t="s">
        <v>146</v>
      </c>
      <c r="C13" s="28">
        <v>84</v>
      </c>
      <c r="D13" s="28">
        <v>71</v>
      </c>
      <c r="E13" s="28">
        <v>66</v>
      </c>
      <c r="F13" s="28">
        <v>80</v>
      </c>
      <c r="G13" s="28">
        <v>81</v>
      </c>
      <c r="H13" s="28">
        <v>71</v>
      </c>
      <c r="I13" s="28">
        <v>90</v>
      </c>
      <c r="J13" s="28">
        <v>82</v>
      </c>
      <c r="K13" s="28">
        <v>73</v>
      </c>
      <c r="L13" s="28">
        <v>71</v>
      </c>
      <c r="M13" s="28">
        <v>93</v>
      </c>
      <c r="N13" s="28">
        <v>76</v>
      </c>
      <c r="O13" s="28">
        <f>SUM(Table6[[#This Row],[Math]:[Physics]])</f>
        <v>938</v>
      </c>
      <c r="P13" s="29">
        <f t="shared" si="0"/>
        <v>0.78166666666666662</v>
      </c>
    </row>
    <row r="14" spans="1:16" x14ac:dyDescent="0.3">
      <c r="A14" s="28">
        <v>12</v>
      </c>
      <c r="B14" s="28" t="s">
        <v>125</v>
      </c>
      <c r="C14" s="28">
        <v>80</v>
      </c>
      <c r="D14" s="28">
        <v>84</v>
      </c>
      <c r="E14" s="28">
        <v>89</v>
      </c>
      <c r="F14" s="28">
        <v>74</v>
      </c>
      <c r="G14" s="28">
        <v>89</v>
      </c>
      <c r="H14" s="28">
        <v>94</v>
      </c>
      <c r="I14" s="28">
        <v>73</v>
      </c>
      <c r="J14" s="28">
        <v>83</v>
      </c>
      <c r="K14" s="28">
        <v>65</v>
      </c>
      <c r="L14" s="28">
        <v>94</v>
      </c>
      <c r="M14" s="28">
        <v>71</v>
      </c>
      <c r="N14" s="28">
        <v>86</v>
      </c>
      <c r="O14" s="28">
        <f>SUM(Table6[[#This Row],[Math]:[Physics]])</f>
        <v>982</v>
      </c>
      <c r="P14" s="29">
        <f t="shared" si="0"/>
        <v>0.81833333333333336</v>
      </c>
    </row>
    <row r="15" spans="1:16" x14ac:dyDescent="0.3">
      <c r="A15" s="28">
        <v>13</v>
      </c>
      <c r="B15" s="28" t="s">
        <v>147</v>
      </c>
      <c r="C15" s="28">
        <v>73</v>
      </c>
      <c r="D15" s="28">
        <v>80</v>
      </c>
      <c r="E15" s="28">
        <v>72</v>
      </c>
      <c r="F15" s="28">
        <v>68</v>
      </c>
      <c r="G15" s="28">
        <v>87</v>
      </c>
      <c r="H15" s="28">
        <v>70</v>
      </c>
      <c r="I15" s="28">
        <v>74</v>
      </c>
      <c r="J15" s="28">
        <v>91</v>
      </c>
      <c r="K15" s="28">
        <v>68</v>
      </c>
      <c r="L15" s="28">
        <v>91</v>
      </c>
      <c r="M15" s="28">
        <v>77</v>
      </c>
      <c r="N15" s="28">
        <v>90</v>
      </c>
      <c r="O15" s="28">
        <f>SUM(Table6[[#This Row],[Math]:[Physics]])</f>
        <v>941</v>
      </c>
      <c r="P15" s="29">
        <f t="shared" si="0"/>
        <v>0.78416666666666668</v>
      </c>
    </row>
    <row r="16" spans="1:16" x14ac:dyDescent="0.3">
      <c r="A16" s="28">
        <v>14</v>
      </c>
      <c r="B16" s="28" t="s">
        <v>126</v>
      </c>
      <c r="C16" s="28">
        <v>73</v>
      </c>
      <c r="D16" s="28">
        <v>67</v>
      </c>
      <c r="E16" s="28">
        <v>92</v>
      </c>
      <c r="F16" s="28">
        <v>76</v>
      </c>
      <c r="G16" s="28">
        <v>83</v>
      </c>
      <c r="H16" s="28">
        <v>75</v>
      </c>
      <c r="I16" s="28">
        <v>65</v>
      </c>
      <c r="J16" s="28">
        <v>94</v>
      </c>
      <c r="K16" s="28">
        <v>85</v>
      </c>
      <c r="L16" s="28">
        <v>80</v>
      </c>
      <c r="M16" s="28">
        <v>82</v>
      </c>
      <c r="N16" s="28">
        <v>84</v>
      </c>
      <c r="O16" s="28">
        <f>SUM(Table6[[#This Row],[Math]:[Physics]])</f>
        <v>956</v>
      </c>
      <c r="P16" s="29">
        <f t="shared" si="0"/>
        <v>0.79666666666666663</v>
      </c>
    </row>
    <row r="17" spans="1:16" x14ac:dyDescent="0.3">
      <c r="A17" s="28">
        <v>15</v>
      </c>
      <c r="B17" s="28" t="s">
        <v>148</v>
      </c>
      <c r="C17" s="28">
        <v>80</v>
      </c>
      <c r="D17" s="28">
        <v>77</v>
      </c>
      <c r="E17" s="28">
        <v>71</v>
      </c>
      <c r="F17" s="28">
        <v>85</v>
      </c>
      <c r="G17" s="28">
        <v>82</v>
      </c>
      <c r="H17" s="28">
        <v>90</v>
      </c>
      <c r="I17" s="28">
        <v>65</v>
      </c>
      <c r="J17" s="28">
        <v>74</v>
      </c>
      <c r="K17" s="28">
        <v>66</v>
      </c>
      <c r="L17" s="28">
        <v>94</v>
      </c>
      <c r="M17" s="28">
        <v>93</v>
      </c>
      <c r="N17" s="28">
        <v>82</v>
      </c>
      <c r="O17" s="28">
        <f>SUM(Table6[[#This Row],[Math]:[Physics]])</f>
        <v>959</v>
      </c>
      <c r="P17" s="29">
        <f t="shared" si="0"/>
        <v>0.79916666666666669</v>
      </c>
    </row>
    <row r="18" spans="1:16" x14ac:dyDescent="0.3">
      <c r="A18" s="28">
        <v>16</v>
      </c>
      <c r="B18" s="28" t="s">
        <v>149</v>
      </c>
      <c r="C18" s="28">
        <v>76</v>
      </c>
      <c r="D18" s="28">
        <v>78</v>
      </c>
      <c r="E18" s="28">
        <v>85</v>
      </c>
      <c r="F18" s="28">
        <v>88</v>
      </c>
      <c r="G18" s="28">
        <v>70</v>
      </c>
      <c r="H18" s="28">
        <v>78</v>
      </c>
      <c r="I18" s="28">
        <v>85</v>
      </c>
      <c r="J18" s="28">
        <v>78</v>
      </c>
      <c r="K18" s="28">
        <v>79</v>
      </c>
      <c r="L18" s="28">
        <v>86</v>
      </c>
      <c r="M18" s="28">
        <v>67</v>
      </c>
      <c r="N18" s="28">
        <v>80</v>
      </c>
      <c r="O18" s="28">
        <f>SUM(Table6[[#This Row],[Math]:[Physics]])</f>
        <v>950</v>
      </c>
      <c r="P18" s="29">
        <f t="shared" si="0"/>
        <v>0.79166666666666663</v>
      </c>
    </row>
    <row r="19" spans="1:16" x14ac:dyDescent="0.3">
      <c r="A19" s="28">
        <v>17</v>
      </c>
      <c r="B19" s="28" t="s">
        <v>150</v>
      </c>
      <c r="C19" s="28">
        <v>85</v>
      </c>
      <c r="D19" s="28">
        <v>70</v>
      </c>
      <c r="E19" s="28">
        <v>90</v>
      </c>
      <c r="F19" s="28">
        <v>78</v>
      </c>
      <c r="G19" s="28">
        <v>79</v>
      </c>
      <c r="H19" s="28">
        <v>88</v>
      </c>
      <c r="I19" s="28">
        <v>79</v>
      </c>
      <c r="J19" s="28">
        <v>75</v>
      </c>
      <c r="K19" s="28">
        <v>87</v>
      </c>
      <c r="L19" s="28">
        <v>69</v>
      </c>
      <c r="M19" s="28">
        <v>68</v>
      </c>
      <c r="N19" s="28">
        <v>87</v>
      </c>
      <c r="O19" s="28">
        <f>SUM(Table6[[#This Row],[Math]:[Physics]])</f>
        <v>955</v>
      </c>
      <c r="P19" s="29">
        <f t="shared" si="0"/>
        <v>0.79583333333333328</v>
      </c>
    </row>
    <row r="20" spans="1:16" x14ac:dyDescent="0.3">
      <c r="A20" s="28">
        <v>18</v>
      </c>
      <c r="B20" s="28" t="s">
        <v>151</v>
      </c>
      <c r="C20" s="28">
        <v>94</v>
      </c>
      <c r="D20" s="28">
        <v>82</v>
      </c>
      <c r="E20" s="28">
        <v>73</v>
      </c>
      <c r="F20" s="28">
        <v>66</v>
      </c>
      <c r="G20" s="28">
        <v>79</v>
      </c>
      <c r="H20" s="28">
        <v>87</v>
      </c>
      <c r="I20" s="28">
        <v>95</v>
      </c>
      <c r="J20" s="28">
        <v>92</v>
      </c>
      <c r="K20" s="28">
        <v>93</v>
      </c>
      <c r="L20" s="28">
        <v>93</v>
      </c>
      <c r="M20" s="28">
        <v>89</v>
      </c>
      <c r="N20" s="28">
        <v>75</v>
      </c>
      <c r="O20" s="28">
        <f>SUM(Table6[[#This Row],[Math]:[Physics]])</f>
        <v>1018</v>
      </c>
      <c r="P20" s="29">
        <f t="shared" si="0"/>
        <v>0.84833333333333338</v>
      </c>
    </row>
    <row r="21" spans="1:16" x14ac:dyDescent="0.3">
      <c r="A21" s="28">
        <v>19</v>
      </c>
      <c r="B21" s="28" t="s">
        <v>152</v>
      </c>
      <c r="C21" s="28">
        <v>87</v>
      </c>
      <c r="D21" s="28">
        <v>66</v>
      </c>
      <c r="E21" s="28">
        <v>75</v>
      </c>
      <c r="F21" s="28">
        <v>88</v>
      </c>
      <c r="G21" s="28">
        <v>72</v>
      </c>
      <c r="H21" s="28">
        <v>65</v>
      </c>
      <c r="I21" s="28">
        <v>68</v>
      </c>
      <c r="J21" s="28">
        <v>77</v>
      </c>
      <c r="K21" s="28">
        <v>68</v>
      </c>
      <c r="L21" s="28">
        <v>78</v>
      </c>
      <c r="M21" s="28">
        <v>93</v>
      </c>
      <c r="N21" s="28">
        <v>68</v>
      </c>
      <c r="O21" s="28">
        <f>SUM(Table6[[#This Row],[Math]:[Physics]])</f>
        <v>905</v>
      </c>
      <c r="P21" s="29">
        <f t="shared" si="0"/>
        <v>0.75416666666666665</v>
      </c>
    </row>
    <row r="22" spans="1:16" x14ac:dyDescent="0.3">
      <c r="A22" s="28">
        <v>20</v>
      </c>
      <c r="B22" s="28" t="s">
        <v>153</v>
      </c>
      <c r="C22" s="28">
        <v>89</v>
      </c>
      <c r="D22" s="28">
        <v>91</v>
      </c>
      <c r="E22" s="28">
        <v>68</v>
      </c>
      <c r="F22" s="28">
        <v>73</v>
      </c>
      <c r="G22" s="28">
        <v>76</v>
      </c>
      <c r="H22" s="28">
        <v>86</v>
      </c>
      <c r="I22" s="28">
        <v>76</v>
      </c>
      <c r="J22" s="28">
        <v>89</v>
      </c>
      <c r="K22" s="28">
        <v>88</v>
      </c>
      <c r="L22" s="28">
        <v>95</v>
      </c>
      <c r="M22" s="28">
        <v>71</v>
      </c>
      <c r="N22" s="28">
        <v>78</v>
      </c>
      <c r="O22" s="28">
        <f>SUM(Table6[[#This Row],[Math]:[Physics]])</f>
        <v>980</v>
      </c>
      <c r="P22" s="29">
        <f t="shared" si="0"/>
        <v>0.81666666666666665</v>
      </c>
    </row>
    <row r="23" spans="1:16" x14ac:dyDescent="0.3">
      <c r="A23" s="28">
        <v>21</v>
      </c>
      <c r="B23" s="28" t="s">
        <v>154</v>
      </c>
      <c r="C23" s="28">
        <v>71</v>
      </c>
      <c r="D23" s="28">
        <v>84</v>
      </c>
      <c r="E23" s="28">
        <v>79</v>
      </c>
      <c r="F23" s="28">
        <v>95</v>
      </c>
      <c r="G23" s="28">
        <v>88</v>
      </c>
      <c r="H23" s="28">
        <v>85</v>
      </c>
      <c r="I23" s="28">
        <v>71</v>
      </c>
      <c r="J23" s="28">
        <v>82</v>
      </c>
      <c r="K23" s="28">
        <v>66</v>
      </c>
      <c r="L23" s="28">
        <v>68</v>
      </c>
      <c r="M23" s="28">
        <v>72</v>
      </c>
      <c r="N23" s="28">
        <v>87</v>
      </c>
      <c r="O23" s="28">
        <f>SUM(Table6[[#This Row],[Math]:[Physics]])</f>
        <v>948</v>
      </c>
      <c r="P23" s="29">
        <f t="shared" si="0"/>
        <v>0.79</v>
      </c>
    </row>
    <row r="24" spans="1:16" x14ac:dyDescent="0.3">
      <c r="A24" s="28">
        <v>22</v>
      </c>
      <c r="B24" s="28" t="s">
        <v>133</v>
      </c>
      <c r="C24" s="28">
        <v>83</v>
      </c>
      <c r="D24" s="28">
        <v>83</v>
      </c>
      <c r="E24" s="28">
        <v>65</v>
      </c>
      <c r="F24" s="28">
        <v>74</v>
      </c>
      <c r="G24" s="28">
        <v>78</v>
      </c>
      <c r="H24" s="28">
        <v>75</v>
      </c>
      <c r="I24" s="28">
        <v>90</v>
      </c>
      <c r="J24" s="28">
        <v>83</v>
      </c>
      <c r="K24" s="28">
        <v>80</v>
      </c>
      <c r="L24" s="28">
        <v>80</v>
      </c>
      <c r="M24" s="28">
        <v>92</v>
      </c>
      <c r="N24" s="28">
        <v>84</v>
      </c>
      <c r="O24" s="28">
        <f>SUM(Table6[[#This Row],[Math]:[Physics]])</f>
        <v>967</v>
      </c>
      <c r="P24" s="29">
        <f t="shared" si="0"/>
        <v>0.80583333333333329</v>
      </c>
    </row>
    <row r="25" spans="1:16" x14ac:dyDescent="0.3">
      <c r="A25" s="28">
        <v>23</v>
      </c>
      <c r="B25" s="28" t="s">
        <v>155</v>
      </c>
      <c r="C25" s="28">
        <v>72</v>
      </c>
      <c r="D25" s="28">
        <v>91</v>
      </c>
      <c r="E25" s="28">
        <v>85</v>
      </c>
      <c r="F25" s="28">
        <v>95</v>
      </c>
      <c r="G25" s="28">
        <v>87</v>
      </c>
      <c r="H25" s="28">
        <v>95</v>
      </c>
      <c r="I25" s="28">
        <v>74</v>
      </c>
      <c r="J25" s="28">
        <v>80</v>
      </c>
      <c r="K25" s="28">
        <v>71</v>
      </c>
      <c r="L25" s="28">
        <v>69</v>
      </c>
      <c r="M25" s="28">
        <v>94</v>
      </c>
      <c r="N25" s="28">
        <v>81</v>
      </c>
      <c r="O25" s="28">
        <f>SUM(Table6[[#This Row],[Math]:[Physics]])</f>
        <v>994</v>
      </c>
      <c r="P25" s="29">
        <f t="shared" si="0"/>
        <v>0.82833333333333337</v>
      </c>
    </row>
    <row r="26" spans="1:16" x14ac:dyDescent="0.3">
      <c r="A26" s="28">
        <v>24</v>
      </c>
      <c r="B26" s="28" t="s">
        <v>156</v>
      </c>
      <c r="C26" s="28">
        <v>65</v>
      </c>
      <c r="D26" s="28">
        <v>95</v>
      </c>
      <c r="E26" s="28">
        <v>71</v>
      </c>
      <c r="F26" s="28">
        <v>81</v>
      </c>
      <c r="G26" s="28">
        <v>90</v>
      </c>
      <c r="H26" s="28">
        <v>94</v>
      </c>
      <c r="I26" s="28">
        <v>75</v>
      </c>
      <c r="J26" s="28">
        <v>69</v>
      </c>
      <c r="K26" s="28">
        <v>80</v>
      </c>
      <c r="L26" s="28">
        <v>90</v>
      </c>
      <c r="M26" s="28">
        <v>78</v>
      </c>
      <c r="N26" s="28">
        <v>88</v>
      </c>
      <c r="O26" s="28">
        <f>SUM(Table6[[#This Row],[Math]:[Physics]])</f>
        <v>976</v>
      </c>
      <c r="P26" s="29">
        <f t="shared" si="0"/>
        <v>0.81333333333333335</v>
      </c>
    </row>
    <row r="27" spans="1:16" x14ac:dyDescent="0.3">
      <c r="A27" s="28">
        <v>25</v>
      </c>
      <c r="B27" s="28" t="s">
        <v>157</v>
      </c>
      <c r="C27" s="28">
        <v>82</v>
      </c>
      <c r="D27" s="28">
        <v>70</v>
      </c>
      <c r="E27" s="28">
        <v>73</v>
      </c>
      <c r="F27" s="28">
        <v>81</v>
      </c>
      <c r="G27" s="28">
        <v>65</v>
      </c>
      <c r="H27" s="28">
        <v>69</v>
      </c>
      <c r="I27" s="28">
        <v>82</v>
      </c>
      <c r="J27" s="28">
        <v>91</v>
      </c>
      <c r="K27" s="28">
        <v>82</v>
      </c>
      <c r="L27" s="28">
        <v>91</v>
      </c>
      <c r="M27" s="28">
        <v>78</v>
      </c>
      <c r="N27" s="28">
        <v>84</v>
      </c>
      <c r="O27" s="28">
        <f>SUM(Table6[[#This Row],[Math]:[Physics]])</f>
        <v>948</v>
      </c>
      <c r="P27" s="29">
        <f t="shared" si="0"/>
        <v>0.79</v>
      </c>
    </row>
    <row r="28" spans="1:16" x14ac:dyDescent="0.3">
      <c r="A28" s="28">
        <v>26</v>
      </c>
      <c r="B28" s="28" t="s">
        <v>158</v>
      </c>
      <c r="C28" s="28">
        <v>81</v>
      </c>
      <c r="D28" s="28">
        <v>80</v>
      </c>
      <c r="E28" s="28">
        <v>87</v>
      </c>
      <c r="F28" s="28">
        <v>75</v>
      </c>
      <c r="G28" s="28">
        <v>81</v>
      </c>
      <c r="H28" s="28">
        <v>77</v>
      </c>
      <c r="I28" s="28">
        <v>87</v>
      </c>
      <c r="J28" s="28">
        <v>74</v>
      </c>
      <c r="K28" s="28">
        <v>92</v>
      </c>
      <c r="L28" s="28">
        <v>78</v>
      </c>
      <c r="M28" s="28">
        <v>83</v>
      </c>
      <c r="N28" s="28">
        <v>72</v>
      </c>
      <c r="O28" s="28">
        <f>SUM(Table6[[#This Row],[Math]:[Physics]])</f>
        <v>967</v>
      </c>
      <c r="P28" s="29">
        <f t="shared" si="0"/>
        <v>0.80583333333333329</v>
      </c>
    </row>
    <row r="29" spans="1:16" x14ac:dyDescent="0.3">
      <c r="A29" s="28">
        <v>27</v>
      </c>
      <c r="B29" s="28" t="s">
        <v>159</v>
      </c>
      <c r="C29" s="28">
        <v>95</v>
      </c>
      <c r="D29" s="28">
        <v>85</v>
      </c>
      <c r="E29" s="28">
        <v>79</v>
      </c>
      <c r="F29" s="28">
        <v>86</v>
      </c>
      <c r="G29" s="28">
        <v>70</v>
      </c>
      <c r="H29" s="28">
        <v>76</v>
      </c>
      <c r="I29" s="28">
        <v>76</v>
      </c>
      <c r="J29" s="28">
        <v>85</v>
      </c>
      <c r="K29" s="28">
        <v>83</v>
      </c>
      <c r="L29" s="28">
        <v>95</v>
      </c>
      <c r="M29" s="28">
        <v>70</v>
      </c>
      <c r="N29" s="28">
        <v>76</v>
      </c>
      <c r="O29" s="28">
        <f>SUM(Table6[[#This Row],[Math]:[Physics]])</f>
        <v>976</v>
      </c>
      <c r="P29" s="29">
        <f t="shared" si="0"/>
        <v>0.81333333333333335</v>
      </c>
    </row>
    <row r="30" spans="1:16" x14ac:dyDescent="0.3">
      <c r="A30" s="28">
        <v>28</v>
      </c>
      <c r="B30" s="28" t="s">
        <v>160</v>
      </c>
      <c r="C30" s="28">
        <v>68</v>
      </c>
      <c r="D30" s="28">
        <v>68</v>
      </c>
      <c r="E30" s="28">
        <v>66</v>
      </c>
      <c r="F30" s="28">
        <v>67</v>
      </c>
      <c r="G30" s="28">
        <v>68</v>
      </c>
      <c r="H30" s="28">
        <v>67</v>
      </c>
      <c r="I30" s="28">
        <v>85</v>
      </c>
      <c r="J30" s="28">
        <v>70</v>
      </c>
      <c r="K30" s="28">
        <v>83</v>
      </c>
      <c r="L30" s="28">
        <v>87</v>
      </c>
      <c r="M30" s="28">
        <v>66</v>
      </c>
      <c r="N30" s="28">
        <v>68</v>
      </c>
      <c r="O30" s="28">
        <f>SUM(Table6[[#This Row],[Math]:[Physics]])</f>
        <v>863</v>
      </c>
      <c r="P30" s="29">
        <f t="shared" si="0"/>
        <v>0.71916666666666662</v>
      </c>
    </row>
    <row r="31" spans="1:16" x14ac:dyDescent="0.3">
      <c r="A31" s="28">
        <v>29</v>
      </c>
      <c r="B31" s="28" t="s">
        <v>161</v>
      </c>
      <c r="C31" s="28">
        <v>79</v>
      </c>
      <c r="D31" s="28">
        <v>71</v>
      </c>
      <c r="E31" s="28">
        <v>73</v>
      </c>
      <c r="F31" s="28">
        <v>79</v>
      </c>
      <c r="G31" s="28">
        <v>71</v>
      </c>
      <c r="H31" s="28">
        <v>92</v>
      </c>
      <c r="I31" s="28">
        <v>89</v>
      </c>
      <c r="J31" s="28">
        <v>91</v>
      </c>
      <c r="K31" s="28">
        <v>70</v>
      </c>
      <c r="L31" s="28">
        <v>80</v>
      </c>
      <c r="M31" s="28">
        <v>88</v>
      </c>
      <c r="N31" s="28">
        <v>80</v>
      </c>
      <c r="O31" s="28">
        <f>SUM(Table6[[#This Row],[Math]:[Physics]])</f>
        <v>963</v>
      </c>
      <c r="P31" s="29">
        <f t="shared" si="0"/>
        <v>0.80249999999999999</v>
      </c>
    </row>
    <row r="32" spans="1:16" x14ac:dyDescent="0.3">
      <c r="A32" s="28">
        <v>30</v>
      </c>
      <c r="B32" s="28" t="s">
        <v>162</v>
      </c>
      <c r="C32" s="28">
        <v>76</v>
      </c>
      <c r="D32" s="28">
        <v>95</v>
      </c>
      <c r="E32" s="28">
        <v>91</v>
      </c>
      <c r="F32" s="28">
        <v>68</v>
      </c>
      <c r="G32" s="28">
        <v>73</v>
      </c>
      <c r="H32" s="28">
        <v>94</v>
      </c>
      <c r="I32" s="28">
        <v>79</v>
      </c>
      <c r="J32" s="28">
        <v>90</v>
      </c>
      <c r="K32" s="28">
        <v>94</v>
      </c>
      <c r="L32" s="28">
        <v>72</v>
      </c>
      <c r="M32" s="28">
        <v>93</v>
      </c>
      <c r="N32" s="28">
        <v>72</v>
      </c>
      <c r="O32" s="28">
        <f>SUM(Table6[[#This Row],[Math]:[Physics]])</f>
        <v>997</v>
      </c>
      <c r="P32" s="29">
        <f t="shared" si="0"/>
        <v>0.83083333333333331</v>
      </c>
    </row>
  </sheetData>
  <mergeCells count="1">
    <mergeCell ref="A1:P1"/>
  </mergeCells>
  <conditionalFormatting sqref="P2">
    <cfRule type="dataBar" priority="1">
      <dataBar>
        <cfvo type="min"/>
        <cfvo type="max"/>
        <color rgb="FF008AEF"/>
      </dataBar>
      <extLst>
        <ext xmlns:x14="http://schemas.microsoft.com/office/spreadsheetml/2009/9/main" uri="{B025F937-C7B1-47D3-B67F-A62EFF666E3E}">
          <x14:id>{19A40C5D-E089-4BE2-9B99-E6DDA9EA2FFC}</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9A40C5D-E089-4BE2-9B99-E6DDA9EA2FFC}">
            <x14:dataBar minLength="0" maxLength="100" gradient="0">
              <x14:cfvo type="autoMin"/>
              <x14:cfvo type="autoMax"/>
              <x14:negativeFillColor rgb="FFFF0000"/>
              <x14:axisColor rgb="FF000000"/>
            </x14:dataBar>
          </x14:cfRule>
          <xm:sqref>P2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F06B-5585-4EBC-9919-97B3A7A81FA0}">
  <sheetPr>
    <tabColor rgb="FFFFFF00"/>
  </sheetPr>
  <dimension ref="A1:P32"/>
  <sheetViews>
    <sheetView workbookViewId="0">
      <selection activeCell="B2" sqref="B2"/>
    </sheetView>
  </sheetViews>
  <sheetFormatPr defaultRowHeight="14.4" x14ac:dyDescent="0.3"/>
  <cols>
    <col min="1" max="1" width="11.77734375" customWidth="1"/>
    <col min="2" max="2" width="13.33203125" bestFit="1" customWidth="1"/>
    <col min="4" max="4" width="9.21875" customWidth="1"/>
    <col min="7" max="7" width="16.5546875" customWidth="1"/>
    <col min="8" max="8" width="11.88671875" customWidth="1"/>
    <col min="9" max="9" width="12.109375" customWidth="1"/>
    <col min="11" max="11" width="18.109375" customWidth="1"/>
    <col min="13" max="13" width="11.33203125" customWidth="1"/>
    <col min="14" max="14" width="9" customWidth="1"/>
    <col min="16" max="16" width="8.88671875" style="15"/>
  </cols>
  <sheetData>
    <row r="1" spans="1:16" ht="23.4" x14ac:dyDescent="0.45">
      <c r="A1" s="44" t="s">
        <v>234</v>
      </c>
      <c r="B1" s="44"/>
      <c r="C1" s="44"/>
      <c r="D1" s="44"/>
      <c r="E1" s="44"/>
      <c r="F1" s="44"/>
      <c r="G1" s="44"/>
      <c r="H1" s="44"/>
      <c r="I1" s="44"/>
      <c r="J1" s="44"/>
      <c r="K1" s="44"/>
      <c r="L1" s="44"/>
      <c r="M1" s="44"/>
      <c r="N1" s="44"/>
      <c r="O1" s="44"/>
      <c r="P1" s="44"/>
    </row>
    <row r="2" spans="1:16" x14ac:dyDescent="0.3">
      <c r="A2" t="s">
        <v>12</v>
      </c>
      <c r="B2" t="s">
        <v>0</v>
      </c>
      <c r="C2" t="s">
        <v>2</v>
      </c>
      <c r="D2" t="s">
        <v>3</v>
      </c>
      <c r="E2" t="s">
        <v>4</v>
      </c>
      <c r="F2" t="s">
        <v>5</v>
      </c>
      <c r="G2" t="s">
        <v>6</v>
      </c>
      <c r="H2" t="s">
        <v>7</v>
      </c>
      <c r="I2" t="s">
        <v>8</v>
      </c>
      <c r="J2" t="s">
        <v>9</v>
      </c>
      <c r="K2" t="s">
        <v>10</v>
      </c>
      <c r="L2" t="s">
        <v>11</v>
      </c>
      <c r="M2" t="s">
        <v>40</v>
      </c>
      <c r="N2" t="s">
        <v>41</v>
      </c>
      <c r="O2" t="s">
        <v>48</v>
      </c>
      <c r="P2" s="1" t="s">
        <v>49</v>
      </c>
    </row>
    <row r="3" spans="1:16" x14ac:dyDescent="0.3">
      <c r="A3" s="28">
        <v>1</v>
      </c>
      <c r="B3" s="28" t="s">
        <v>42</v>
      </c>
      <c r="C3" s="28">
        <v>83</v>
      </c>
      <c r="D3" s="28">
        <v>78</v>
      </c>
      <c r="E3" s="28">
        <v>78</v>
      </c>
      <c r="F3" s="28">
        <v>79</v>
      </c>
      <c r="G3" s="28">
        <v>67</v>
      </c>
      <c r="H3" s="28">
        <v>74</v>
      </c>
      <c r="I3" s="28">
        <v>66</v>
      </c>
      <c r="J3" s="28">
        <v>86</v>
      </c>
      <c r="K3" s="28">
        <v>72</v>
      </c>
      <c r="L3" s="28">
        <v>94</v>
      </c>
      <c r="M3" s="28">
        <v>92</v>
      </c>
      <c r="N3" s="28">
        <v>94</v>
      </c>
      <c r="O3" s="28">
        <f>SUM(Table7[[#This Row],[Math]:[Physics]])</f>
        <v>963</v>
      </c>
      <c r="P3" s="29">
        <f t="shared" ref="P3:P32" si="0">SUM(C3:N3)/1200</f>
        <v>0.80249999999999999</v>
      </c>
    </row>
    <row r="4" spans="1:16" x14ac:dyDescent="0.3">
      <c r="A4" s="28">
        <v>2</v>
      </c>
      <c r="B4" s="28" t="s">
        <v>117</v>
      </c>
      <c r="C4" s="28">
        <v>92</v>
      </c>
      <c r="D4" s="28">
        <v>66</v>
      </c>
      <c r="E4" s="28">
        <v>81</v>
      </c>
      <c r="F4" s="28">
        <v>69</v>
      </c>
      <c r="G4" s="28">
        <v>75</v>
      </c>
      <c r="H4" s="28">
        <v>80</v>
      </c>
      <c r="I4" s="28">
        <v>75</v>
      </c>
      <c r="J4" s="28">
        <v>67</v>
      </c>
      <c r="K4" s="28">
        <v>84</v>
      </c>
      <c r="L4" s="28">
        <v>88</v>
      </c>
      <c r="M4" s="28">
        <v>95</v>
      </c>
      <c r="N4" s="28">
        <v>91</v>
      </c>
      <c r="O4" s="28">
        <f>SUM(Table7[[#This Row],[Math]:[Physics]])</f>
        <v>963</v>
      </c>
      <c r="P4" s="29">
        <f t="shared" si="0"/>
        <v>0.80249999999999999</v>
      </c>
    </row>
    <row r="5" spans="1:16" x14ac:dyDescent="0.3">
      <c r="A5" s="28">
        <v>3</v>
      </c>
      <c r="B5" s="28" t="s">
        <v>163</v>
      </c>
      <c r="C5" s="28">
        <v>68</v>
      </c>
      <c r="D5" s="28">
        <v>70</v>
      </c>
      <c r="E5" s="28">
        <v>91</v>
      </c>
      <c r="F5" s="28">
        <v>84</v>
      </c>
      <c r="G5" s="28">
        <v>77</v>
      </c>
      <c r="H5" s="28">
        <v>70</v>
      </c>
      <c r="I5" s="28">
        <v>72</v>
      </c>
      <c r="J5" s="28">
        <v>92</v>
      </c>
      <c r="K5" s="28">
        <v>65</v>
      </c>
      <c r="L5" s="28">
        <v>80</v>
      </c>
      <c r="M5" s="28">
        <v>82</v>
      </c>
      <c r="N5" s="28">
        <v>81</v>
      </c>
      <c r="O5" s="28">
        <f>SUM(Table7[[#This Row],[Math]:[Physics]])</f>
        <v>932</v>
      </c>
      <c r="P5" s="29">
        <f t="shared" si="0"/>
        <v>0.77666666666666662</v>
      </c>
    </row>
    <row r="6" spans="1:16" x14ac:dyDescent="0.3">
      <c r="A6" s="28">
        <v>4</v>
      </c>
      <c r="B6" s="28" t="s">
        <v>164</v>
      </c>
      <c r="C6" s="28">
        <v>76</v>
      </c>
      <c r="D6" s="28">
        <v>78</v>
      </c>
      <c r="E6" s="28">
        <v>87</v>
      </c>
      <c r="F6" s="28">
        <v>66</v>
      </c>
      <c r="G6" s="28">
        <v>87</v>
      </c>
      <c r="H6" s="28">
        <v>71</v>
      </c>
      <c r="I6" s="28">
        <v>70</v>
      </c>
      <c r="J6" s="28">
        <v>66</v>
      </c>
      <c r="K6" s="28">
        <v>71</v>
      </c>
      <c r="L6" s="28">
        <v>90</v>
      </c>
      <c r="M6" s="28">
        <v>71</v>
      </c>
      <c r="N6" s="28">
        <v>85</v>
      </c>
      <c r="O6" s="28">
        <f>SUM(Table7[[#This Row],[Math]:[Physics]])</f>
        <v>918</v>
      </c>
      <c r="P6" s="29">
        <f t="shared" si="0"/>
        <v>0.76500000000000001</v>
      </c>
    </row>
    <row r="7" spans="1:16" x14ac:dyDescent="0.3">
      <c r="A7" s="28">
        <v>5</v>
      </c>
      <c r="B7" s="28" t="s">
        <v>142</v>
      </c>
      <c r="C7" s="28">
        <v>86</v>
      </c>
      <c r="D7" s="28">
        <v>82</v>
      </c>
      <c r="E7" s="28">
        <v>69</v>
      </c>
      <c r="F7" s="28">
        <v>69</v>
      </c>
      <c r="G7" s="28">
        <v>66</v>
      </c>
      <c r="H7" s="28">
        <v>82</v>
      </c>
      <c r="I7" s="28">
        <v>90</v>
      </c>
      <c r="J7" s="28">
        <v>65</v>
      </c>
      <c r="K7" s="28">
        <v>88</v>
      </c>
      <c r="L7" s="28">
        <v>74</v>
      </c>
      <c r="M7" s="28">
        <v>84</v>
      </c>
      <c r="N7" s="28">
        <v>90</v>
      </c>
      <c r="O7" s="28">
        <f>SUM(Table7[[#This Row],[Math]:[Physics]])</f>
        <v>945</v>
      </c>
      <c r="P7" s="29">
        <f t="shared" si="0"/>
        <v>0.78749999999999998</v>
      </c>
    </row>
    <row r="8" spans="1:16" x14ac:dyDescent="0.3">
      <c r="A8" s="28">
        <v>6</v>
      </c>
      <c r="B8" s="28" t="s">
        <v>165</v>
      </c>
      <c r="C8" s="28">
        <v>91</v>
      </c>
      <c r="D8" s="28">
        <v>74</v>
      </c>
      <c r="E8" s="28">
        <v>80</v>
      </c>
      <c r="F8" s="28">
        <v>78</v>
      </c>
      <c r="G8" s="28">
        <v>89</v>
      </c>
      <c r="H8" s="28">
        <v>93</v>
      </c>
      <c r="I8" s="28">
        <v>65</v>
      </c>
      <c r="J8" s="28">
        <v>74</v>
      </c>
      <c r="K8" s="28">
        <v>81</v>
      </c>
      <c r="L8" s="28">
        <v>92</v>
      </c>
      <c r="M8" s="28">
        <v>73</v>
      </c>
      <c r="N8" s="28">
        <v>93</v>
      </c>
      <c r="O8" s="28">
        <f>SUM(Table7[[#This Row],[Math]:[Physics]])</f>
        <v>983</v>
      </c>
      <c r="P8" s="29">
        <f t="shared" si="0"/>
        <v>0.81916666666666671</v>
      </c>
    </row>
    <row r="9" spans="1:16" x14ac:dyDescent="0.3">
      <c r="A9" s="28">
        <v>7</v>
      </c>
      <c r="B9" s="28" t="s">
        <v>166</v>
      </c>
      <c r="C9" s="28">
        <v>89</v>
      </c>
      <c r="D9" s="28">
        <v>73</v>
      </c>
      <c r="E9" s="28">
        <v>69</v>
      </c>
      <c r="F9" s="28">
        <v>71</v>
      </c>
      <c r="G9" s="28">
        <v>72</v>
      </c>
      <c r="H9" s="28">
        <v>73</v>
      </c>
      <c r="I9" s="28">
        <v>84</v>
      </c>
      <c r="J9" s="28">
        <v>81</v>
      </c>
      <c r="K9" s="28">
        <v>94</v>
      </c>
      <c r="L9" s="28">
        <v>82</v>
      </c>
      <c r="M9" s="28">
        <v>69</v>
      </c>
      <c r="N9" s="28">
        <v>74</v>
      </c>
      <c r="O9" s="28">
        <f>SUM(Table7[[#This Row],[Math]:[Physics]])</f>
        <v>931</v>
      </c>
      <c r="P9" s="29">
        <f t="shared" si="0"/>
        <v>0.77583333333333337</v>
      </c>
    </row>
    <row r="10" spans="1:16" x14ac:dyDescent="0.3">
      <c r="A10" s="28">
        <v>8</v>
      </c>
      <c r="B10" s="28" t="s">
        <v>167</v>
      </c>
      <c r="C10" s="28">
        <v>94</v>
      </c>
      <c r="D10" s="28">
        <v>72</v>
      </c>
      <c r="E10" s="28">
        <v>94</v>
      </c>
      <c r="F10" s="28">
        <v>88</v>
      </c>
      <c r="G10" s="28">
        <v>88</v>
      </c>
      <c r="H10" s="28">
        <v>87</v>
      </c>
      <c r="I10" s="28">
        <v>88</v>
      </c>
      <c r="J10" s="28">
        <v>90</v>
      </c>
      <c r="K10" s="28">
        <v>83</v>
      </c>
      <c r="L10" s="28">
        <v>79</v>
      </c>
      <c r="M10" s="28">
        <v>66</v>
      </c>
      <c r="N10" s="28">
        <v>70</v>
      </c>
      <c r="O10" s="28">
        <f>SUM(Table7[[#This Row],[Math]:[Physics]])</f>
        <v>999</v>
      </c>
      <c r="P10" s="29">
        <f t="shared" si="0"/>
        <v>0.83250000000000002</v>
      </c>
    </row>
    <row r="11" spans="1:16" x14ac:dyDescent="0.3">
      <c r="A11" s="28">
        <v>9</v>
      </c>
      <c r="B11" s="28" t="s">
        <v>168</v>
      </c>
      <c r="C11" s="28">
        <v>82</v>
      </c>
      <c r="D11" s="28">
        <v>83</v>
      </c>
      <c r="E11" s="28">
        <v>71</v>
      </c>
      <c r="F11" s="28">
        <v>85</v>
      </c>
      <c r="G11" s="28">
        <v>80</v>
      </c>
      <c r="H11" s="28">
        <v>78</v>
      </c>
      <c r="I11" s="28">
        <v>88</v>
      </c>
      <c r="J11" s="28">
        <v>71</v>
      </c>
      <c r="K11" s="28">
        <v>66</v>
      </c>
      <c r="L11" s="28">
        <v>83</v>
      </c>
      <c r="M11" s="28">
        <v>90</v>
      </c>
      <c r="N11" s="28">
        <v>78</v>
      </c>
      <c r="O11" s="28">
        <f>SUM(Table7[[#This Row],[Math]:[Physics]])</f>
        <v>955</v>
      </c>
      <c r="P11" s="29">
        <f t="shared" si="0"/>
        <v>0.79583333333333328</v>
      </c>
    </row>
    <row r="12" spans="1:16" x14ac:dyDescent="0.3">
      <c r="A12" s="28">
        <v>10</v>
      </c>
      <c r="B12" s="28" t="s">
        <v>169</v>
      </c>
      <c r="C12" s="28">
        <v>72</v>
      </c>
      <c r="D12" s="28">
        <v>75</v>
      </c>
      <c r="E12" s="28">
        <v>80</v>
      </c>
      <c r="F12" s="28">
        <v>71</v>
      </c>
      <c r="G12" s="28">
        <v>84</v>
      </c>
      <c r="H12" s="28">
        <v>86</v>
      </c>
      <c r="I12" s="28">
        <v>90</v>
      </c>
      <c r="J12" s="28">
        <v>95</v>
      </c>
      <c r="K12" s="28">
        <v>83</v>
      </c>
      <c r="L12" s="28">
        <v>75</v>
      </c>
      <c r="M12" s="28">
        <v>81</v>
      </c>
      <c r="N12" s="28">
        <v>84</v>
      </c>
      <c r="O12" s="28">
        <f>SUM(Table7[[#This Row],[Math]:[Physics]])</f>
        <v>976</v>
      </c>
      <c r="P12" s="29">
        <f t="shared" si="0"/>
        <v>0.81333333333333335</v>
      </c>
    </row>
    <row r="13" spans="1:16" x14ac:dyDescent="0.3">
      <c r="A13" s="28">
        <v>11</v>
      </c>
      <c r="B13" s="28" t="s">
        <v>170</v>
      </c>
      <c r="C13" s="28">
        <v>91</v>
      </c>
      <c r="D13" s="28">
        <v>82</v>
      </c>
      <c r="E13" s="28">
        <v>75</v>
      </c>
      <c r="F13" s="28">
        <v>85</v>
      </c>
      <c r="G13" s="28">
        <v>92</v>
      </c>
      <c r="H13" s="28">
        <v>76</v>
      </c>
      <c r="I13" s="28">
        <v>69</v>
      </c>
      <c r="J13" s="28">
        <v>67</v>
      </c>
      <c r="K13" s="28">
        <v>71</v>
      </c>
      <c r="L13" s="28">
        <v>84</v>
      </c>
      <c r="M13" s="28">
        <v>83</v>
      </c>
      <c r="N13" s="28">
        <v>73</v>
      </c>
      <c r="O13" s="28">
        <f>SUM(Table7[[#This Row],[Math]:[Physics]])</f>
        <v>948</v>
      </c>
      <c r="P13" s="29">
        <f t="shared" si="0"/>
        <v>0.79</v>
      </c>
    </row>
    <row r="14" spans="1:16" x14ac:dyDescent="0.3">
      <c r="A14" s="28">
        <v>12</v>
      </c>
      <c r="B14" s="28" t="s">
        <v>171</v>
      </c>
      <c r="C14" s="28">
        <v>95</v>
      </c>
      <c r="D14" s="28">
        <v>73</v>
      </c>
      <c r="E14" s="28">
        <v>81</v>
      </c>
      <c r="F14" s="28">
        <v>79</v>
      </c>
      <c r="G14" s="28">
        <v>67</v>
      </c>
      <c r="H14" s="28">
        <v>69</v>
      </c>
      <c r="I14" s="28">
        <v>77</v>
      </c>
      <c r="J14" s="28">
        <v>79</v>
      </c>
      <c r="K14" s="28">
        <v>88</v>
      </c>
      <c r="L14" s="28">
        <v>88</v>
      </c>
      <c r="M14" s="28">
        <v>72</v>
      </c>
      <c r="N14" s="28">
        <v>92</v>
      </c>
      <c r="O14" s="28">
        <f>SUM(Table7[[#This Row],[Math]:[Physics]])</f>
        <v>960</v>
      </c>
      <c r="P14" s="29">
        <f t="shared" si="0"/>
        <v>0.8</v>
      </c>
    </row>
    <row r="15" spans="1:16" x14ac:dyDescent="0.3">
      <c r="A15" s="28">
        <v>13</v>
      </c>
      <c r="B15" s="28" t="s">
        <v>172</v>
      </c>
      <c r="C15" s="28">
        <v>95</v>
      </c>
      <c r="D15" s="28">
        <v>66</v>
      </c>
      <c r="E15" s="28">
        <v>72</v>
      </c>
      <c r="F15" s="28">
        <v>73</v>
      </c>
      <c r="G15" s="28">
        <v>75</v>
      </c>
      <c r="H15" s="28">
        <v>71</v>
      </c>
      <c r="I15" s="28">
        <v>80</v>
      </c>
      <c r="J15" s="28">
        <v>88</v>
      </c>
      <c r="K15" s="28">
        <v>89</v>
      </c>
      <c r="L15" s="28">
        <v>68</v>
      </c>
      <c r="M15" s="28">
        <v>70</v>
      </c>
      <c r="N15" s="28">
        <v>71</v>
      </c>
      <c r="O15" s="28">
        <f>SUM(Table7[[#This Row],[Math]:[Physics]])</f>
        <v>918</v>
      </c>
      <c r="P15" s="29">
        <f t="shared" si="0"/>
        <v>0.76500000000000001</v>
      </c>
    </row>
    <row r="16" spans="1:16" x14ac:dyDescent="0.3">
      <c r="A16" s="28">
        <v>14</v>
      </c>
      <c r="B16" s="28" t="s">
        <v>126</v>
      </c>
      <c r="C16" s="28">
        <v>76</v>
      </c>
      <c r="D16" s="28">
        <v>72</v>
      </c>
      <c r="E16" s="28">
        <v>86</v>
      </c>
      <c r="F16" s="28">
        <v>66</v>
      </c>
      <c r="G16" s="28">
        <v>67</v>
      </c>
      <c r="H16" s="28">
        <v>74</v>
      </c>
      <c r="I16" s="28">
        <v>83</v>
      </c>
      <c r="J16" s="28">
        <v>89</v>
      </c>
      <c r="K16" s="28">
        <v>70</v>
      </c>
      <c r="L16" s="28">
        <v>93</v>
      </c>
      <c r="M16" s="28">
        <v>93</v>
      </c>
      <c r="N16" s="28">
        <v>80</v>
      </c>
      <c r="O16" s="28">
        <f>SUM(Table7[[#This Row],[Math]:[Physics]])</f>
        <v>949</v>
      </c>
      <c r="P16" s="29">
        <f t="shared" si="0"/>
        <v>0.79083333333333339</v>
      </c>
    </row>
    <row r="17" spans="1:16" x14ac:dyDescent="0.3">
      <c r="A17" s="28">
        <v>15</v>
      </c>
      <c r="B17" s="28" t="s">
        <v>127</v>
      </c>
      <c r="C17" s="28">
        <v>67</v>
      </c>
      <c r="D17" s="28">
        <v>80</v>
      </c>
      <c r="E17" s="28">
        <v>77</v>
      </c>
      <c r="F17" s="28">
        <v>84</v>
      </c>
      <c r="G17" s="28">
        <v>81</v>
      </c>
      <c r="H17" s="28">
        <v>67</v>
      </c>
      <c r="I17" s="28">
        <v>91</v>
      </c>
      <c r="J17" s="28">
        <v>79</v>
      </c>
      <c r="K17" s="28">
        <v>79</v>
      </c>
      <c r="L17" s="28">
        <v>74</v>
      </c>
      <c r="M17" s="28">
        <v>89</v>
      </c>
      <c r="N17" s="28">
        <v>81</v>
      </c>
      <c r="O17" s="28">
        <f>SUM(Table7[[#This Row],[Math]:[Physics]])</f>
        <v>949</v>
      </c>
      <c r="P17" s="29">
        <f t="shared" si="0"/>
        <v>0.79083333333333339</v>
      </c>
    </row>
    <row r="18" spans="1:16" x14ac:dyDescent="0.3">
      <c r="A18" s="28">
        <v>16</v>
      </c>
      <c r="B18" s="28" t="s">
        <v>173</v>
      </c>
      <c r="C18" s="28">
        <v>73</v>
      </c>
      <c r="D18" s="28">
        <v>76</v>
      </c>
      <c r="E18" s="28">
        <v>91</v>
      </c>
      <c r="F18" s="28">
        <v>94</v>
      </c>
      <c r="G18" s="28">
        <v>82</v>
      </c>
      <c r="H18" s="28">
        <v>83</v>
      </c>
      <c r="I18" s="28">
        <v>72</v>
      </c>
      <c r="J18" s="28">
        <v>93</v>
      </c>
      <c r="K18" s="28">
        <v>95</v>
      </c>
      <c r="L18" s="28">
        <v>72</v>
      </c>
      <c r="M18" s="28">
        <v>83</v>
      </c>
      <c r="N18" s="28">
        <v>69</v>
      </c>
      <c r="O18" s="28">
        <f>SUM(Table7[[#This Row],[Math]:[Physics]])</f>
        <v>983</v>
      </c>
      <c r="P18" s="29">
        <f t="shared" si="0"/>
        <v>0.81916666666666671</v>
      </c>
    </row>
    <row r="19" spans="1:16" x14ac:dyDescent="0.3">
      <c r="A19" s="28">
        <v>17</v>
      </c>
      <c r="B19" s="28" t="s">
        <v>128</v>
      </c>
      <c r="C19" s="28">
        <v>84</v>
      </c>
      <c r="D19" s="28">
        <v>65</v>
      </c>
      <c r="E19" s="28">
        <v>80</v>
      </c>
      <c r="F19" s="28">
        <v>70</v>
      </c>
      <c r="G19" s="28">
        <v>83</v>
      </c>
      <c r="H19" s="28">
        <v>79</v>
      </c>
      <c r="I19" s="28">
        <v>67</v>
      </c>
      <c r="J19" s="28">
        <v>79</v>
      </c>
      <c r="K19" s="28">
        <v>89</v>
      </c>
      <c r="L19" s="28">
        <v>81</v>
      </c>
      <c r="M19" s="28">
        <v>83</v>
      </c>
      <c r="N19" s="28">
        <v>66</v>
      </c>
      <c r="O19" s="28">
        <f>SUM(Table7[[#This Row],[Math]:[Physics]])</f>
        <v>926</v>
      </c>
      <c r="P19" s="29">
        <f t="shared" si="0"/>
        <v>0.77166666666666661</v>
      </c>
    </row>
    <row r="20" spans="1:16" x14ac:dyDescent="0.3">
      <c r="A20" s="28">
        <v>18</v>
      </c>
      <c r="B20" s="28" t="s">
        <v>174</v>
      </c>
      <c r="C20" s="28">
        <v>85</v>
      </c>
      <c r="D20" s="28">
        <v>84</v>
      </c>
      <c r="E20" s="28">
        <v>95</v>
      </c>
      <c r="F20" s="28">
        <v>91</v>
      </c>
      <c r="G20" s="28">
        <v>66</v>
      </c>
      <c r="H20" s="28">
        <v>73</v>
      </c>
      <c r="I20" s="28">
        <v>80</v>
      </c>
      <c r="J20" s="28">
        <v>92</v>
      </c>
      <c r="K20" s="28">
        <v>82</v>
      </c>
      <c r="L20" s="28">
        <v>94</v>
      </c>
      <c r="M20" s="28">
        <v>71</v>
      </c>
      <c r="N20" s="28">
        <v>77</v>
      </c>
      <c r="O20" s="28">
        <f>SUM(Table7[[#This Row],[Math]:[Physics]])</f>
        <v>990</v>
      </c>
      <c r="P20" s="29">
        <f t="shared" si="0"/>
        <v>0.82499999999999996</v>
      </c>
    </row>
    <row r="21" spans="1:16" x14ac:dyDescent="0.3">
      <c r="A21" s="28">
        <v>19</v>
      </c>
      <c r="B21" s="28" t="s">
        <v>175</v>
      </c>
      <c r="C21" s="28">
        <v>88</v>
      </c>
      <c r="D21" s="28">
        <v>85</v>
      </c>
      <c r="E21" s="28">
        <v>76</v>
      </c>
      <c r="F21" s="28">
        <v>69</v>
      </c>
      <c r="G21" s="28">
        <v>82</v>
      </c>
      <c r="H21" s="28">
        <v>79</v>
      </c>
      <c r="I21" s="28">
        <v>91</v>
      </c>
      <c r="J21" s="28">
        <v>94</v>
      </c>
      <c r="K21" s="28">
        <v>84</v>
      </c>
      <c r="L21" s="28">
        <v>74</v>
      </c>
      <c r="M21" s="28">
        <v>68</v>
      </c>
      <c r="N21" s="28">
        <v>93</v>
      </c>
      <c r="O21" s="28">
        <f>SUM(Table7[[#This Row],[Math]:[Physics]])</f>
        <v>983</v>
      </c>
      <c r="P21" s="29">
        <f t="shared" si="0"/>
        <v>0.81916666666666671</v>
      </c>
    </row>
    <row r="22" spans="1:16" x14ac:dyDescent="0.3">
      <c r="A22" s="28">
        <v>20</v>
      </c>
      <c r="B22" s="28" t="s">
        <v>105</v>
      </c>
      <c r="C22" s="28">
        <v>95</v>
      </c>
      <c r="D22" s="28">
        <v>74</v>
      </c>
      <c r="E22" s="28">
        <v>81</v>
      </c>
      <c r="F22" s="28">
        <v>66</v>
      </c>
      <c r="G22" s="28">
        <v>84</v>
      </c>
      <c r="H22" s="28">
        <v>73</v>
      </c>
      <c r="I22" s="28">
        <v>67</v>
      </c>
      <c r="J22" s="28">
        <v>92</v>
      </c>
      <c r="K22" s="28">
        <v>68</v>
      </c>
      <c r="L22" s="28">
        <v>81</v>
      </c>
      <c r="M22" s="28">
        <v>92</v>
      </c>
      <c r="N22" s="28">
        <v>79</v>
      </c>
      <c r="O22" s="28">
        <f>SUM(Table7[[#This Row],[Math]:[Physics]])</f>
        <v>952</v>
      </c>
      <c r="P22" s="29">
        <f t="shared" si="0"/>
        <v>0.79333333333333333</v>
      </c>
    </row>
    <row r="23" spans="1:16" x14ac:dyDescent="0.3">
      <c r="A23" s="28">
        <v>21</v>
      </c>
      <c r="B23" s="28" t="s">
        <v>176</v>
      </c>
      <c r="C23" s="28">
        <v>71</v>
      </c>
      <c r="D23" s="28">
        <v>82</v>
      </c>
      <c r="E23" s="28">
        <v>86</v>
      </c>
      <c r="F23" s="28">
        <v>85</v>
      </c>
      <c r="G23" s="28">
        <v>66</v>
      </c>
      <c r="H23" s="28">
        <v>67</v>
      </c>
      <c r="I23" s="28">
        <v>89</v>
      </c>
      <c r="J23" s="28">
        <v>77</v>
      </c>
      <c r="K23" s="28">
        <v>76</v>
      </c>
      <c r="L23" s="28">
        <v>84</v>
      </c>
      <c r="M23" s="28">
        <v>74</v>
      </c>
      <c r="N23" s="28">
        <v>79</v>
      </c>
      <c r="O23" s="28">
        <f>SUM(Table7[[#This Row],[Math]:[Physics]])</f>
        <v>936</v>
      </c>
      <c r="P23" s="29">
        <f t="shared" si="0"/>
        <v>0.78</v>
      </c>
    </row>
    <row r="24" spans="1:16" x14ac:dyDescent="0.3">
      <c r="A24" s="28">
        <v>22</v>
      </c>
      <c r="B24" s="28" t="s">
        <v>177</v>
      </c>
      <c r="C24" s="28">
        <v>90</v>
      </c>
      <c r="D24" s="28">
        <v>84</v>
      </c>
      <c r="E24" s="28">
        <v>65</v>
      </c>
      <c r="F24" s="28">
        <v>82</v>
      </c>
      <c r="G24" s="28">
        <v>91</v>
      </c>
      <c r="H24" s="28">
        <v>91</v>
      </c>
      <c r="I24" s="28">
        <v>67</v>
      </c>
      <c r="J24" s="28">
        <v>72</v>
      </c>
      <c r="K24" s="28">
        <v>67</v>
      </c>
      <c r="L24" s="28">
        <v>85</v>
      </c>
      <c r="M24" s="28">
        <v>69</v>
      </c>
      <c r="N24" s="28">
        <v>76</v>
      </c>
      <c r="O24" s="28">
        <f>SUM(Table7[[#This Row],[Math]:[Physics]])</f>
        <v>939</v>
      </c>
      <c r="P24" s="29">
        <f t="shared" si="0"/>
        <v>0.78249999999999997</v>
      </c>
    </row>
    <row r="25" spans="1:16" x14ac:dyDescent="0.3">
      <c r="A25" s="28">
        <v>23</v>
      </c>
      <c r="B25" s="28" t="s">
        <v>108</v>
      </c>
      <c r="C25" s="28">
        <v>71</v>
      </c>
      <c r="D25" s="28">
        <v>95</v>
      </c>
      <c r="E25" s="28">
        <v>81</v>
      </c>
      <c r="F25" s="28">
        <v>70</v>
      </c>
      <c r="G25" s="28">
        <v>74</v>
      </c>
      <c r="H25" s="28">
        <v>92</v>
      </c>
      <c r="I25" s="28">
        <v>93</v>
      </c>
      <c r="J25" s="28">
        <v>91</v>
      </c>
      <c r="K25" s="28">
        <v>83</v>
      </c>
      <c r="L25" s="28">
        <v>79</v>
      </c>
      <c r="M25" s="28">
        <v>92</v>
      </c>
      <c r="N25" s="28">
        <v>67</v>
      </c>
      <c r="O25" s="28">
        <f>SUM(Table7[[#This Row],[Math]:[Physics]])</f>
        <v>988</v>
      </c>
      <c r="P25" s="29">
        <f t="shared" si="0"/>
        <v>0.82333333333333336</v>
      </c>
    </row>
    <row r="26" spans="1:16" x14ac:dyDescent="0.3">
      <c r="A26" s="28">
        <v>24</v>
      </c>
      <c r="B26" s="28" t="s">
        <v>109</v>
      </c>
      <c r="C26" s="28">
        <v>73</v>
      </c>
      <c r="D26" s="28">
        <v>84</v>
      </c>
      <c r="E26" s="28">
        <v>70</v>
      </c>
      <c r="F26" s="28">
        <v>95</v>
      </c>
      <c r="G26" s="28">
        <v>72</v>
      </c>
      <c r="H26" s="28">
        <v>91</v>
      </c>
      <c r="I26" s="28">
        <v>81</v>
      </c>
      <c r="J26" s="28">
        <v>88</v>
      </c>
      <c r="K26" s="28">
        <v>93</v>
      </c>
      <c r="L26" s="28">
        <v>77</v>
      </c>
      <c r="M26" s="28">
        <v>67</v>
      </c>
      <c r="N26" s="28">
        <v>75</v>
      </c>
      <c r="O26" s="28">
        <f>SUM(Table7[[#This Row],[Math]:[Physics]])</f>
        <v>966</v>
      </c>
      <c r="P26" s="29">
        <f t="shared" si="0"/>
        <v>0.80500000000000005</v>
      </c>
    </row>
    <row r="27" spans="1:16" x14ac:dyDescent="0.3">
      <c r="A27" s="28">
        <v>25</v>
      </c>
      <c r="B27" s="28" t="s">
        <v>178</v>
      </c>
      <c r="C27" s="28">
        <v>74</v>
      </c>
      <c r="D27" s="28">
        <v>95</v>
      </c>
      <c r="E27" s="28">
        <v>81</v>
      </c>
      <c r="F27" s="28">
        <v>70</v>
      </c>
      <c r="G27" s="28">
        <v>67</v>
      </c>
      <c r="H27" s="28">
        <v>84</v>
      </c>
      <c r="I27" s="28">
        <v>67</v>
      </c>
      <c r="J27" s="28">
        <v>82</v>
      </c>
      <c r="K27" s="28">
        <v>87</v>
      </c>
      <c r="L27" s="28">
        <v>92</v>
      </c>
      <c r="M27" s="28">
        <v>67</v>
      </c>
      <c r="N27" s="28">
        <v>66</v>
      </c>
      <c r="O27" s="28">
        <f>SUM(Table7[[#This Row],[Math]:[Physics]])</f>
        <v>932</v>
      </c>
      <c r="P27" s="29">
        <f t="shared" si="0"/>
        <v>0.77666666666666662</v>
      </c>
    </row>
    <row r="28" spans="1:16" x14ac:dyDescent="0.3">
      <c r="A28" s="28">
        <v>26</v>
      </c>
      <c r="B28" s="28" t="s">
        <v>179</v>
      </c>
      <c r="C28" s="28">
        <v>81</v>
      </c>
      <c r="D28" s="28">
        <v>71</v>
      </c>
      <c r="E28" s="28">
        <v>84</v>
      </c>
      <c r="F28" s="28">
        <v>94</v>
      </c>
      <c r="G28" s="28">
        <v>90</v>
      </c>
      <c r="H28" s="28">
        <v>82</v>
      </c>
      <c r="I28" s="28">
        <v>71</v>
      </c>
      <c r="J28" s="28">
        <v>95</v>
      </c>
      <c r="K28" s="28">
        <v>94</v>
      </c>
      <c r="L28" s="28">
        <v>67</v>
      </c>
      <c r="M28" s="28">
        <v>91</v>
      </c>
      <c r="N28" s="28">
        <v>66</v>
      </c>
      <c r="O28" s="28">
        <f>SUM(Table7[[#This Row],[Math]:[Physics]])</f>
        <v>986</v>
      </c>
      <c r="P28" s="29">
        <f t="shared" si="0"/>
        <v>0.82166666666666666</v>
      </c>
    </row>
    <row r="29" spans="1:16" x14ac:dyDescent="0.3">
      <c r="A29" s="28">
        <v>27</v>
      </c>
      <c r="B29" s="28" t="s">
        <v>180</v>
      </c>
      <c r="C29" s="28">
        <v>89</v>
      </c>
      <c r="D29" s="28">
        <v>69</v>
      </c>
      <c r="E29" s="28">
        <v>71</v>
      </c>
      <c r="F29" s="28">
        <v>73</v>
      </c>
      <c r="G29" s="28">
        <v>89</v>
      </c>
      <c r="H29" s="28">
        <v>74</v>
      </c>
      <c r="I29" s="28">
        <v>88</v>
      </c>
      <c r="J29" s="28">
        <v>65</v>
      </c>
      <c r="K29" s="28">
        <v>77</v>
      </c>
      <c r="L29" s="28">
        <v>81</v>
      </c>
      <c r="M29" s="28">
        <v>94</v>
      </c>
      <c r="N29" s="28">
        <v>88</v>
      </c>
      <c r="O29" s="28">
        <f>SUM(Table7[[#This Row],[Math]:[Physics]])</f>
        <v>958</v>
      </c>
      <c r="P29" s="29">
        <f t="shared" si="0"/>
        <v>0.79833333333333334</v>
      </c>
    </row>
    <row r="30" spans="1:16" x14ac:dyDescent="0.3">
      <c r="A30" s="28">
        <v>28</v>
      </c>
      <c r="B30" s="28" t="s">
        <v>113</v>
      </c>
      <c r="C30" s="28">
        <v>80</v>
      </c>
      <c r="D30" s="28">
        <v>93</v>
      </c>
      <c r="E30" s="28">
        <v>74</v>
      </c>
      <c r="F30" s="28">
        <v>81</v>
      </c>
      <c r="G30" s="28">
        <v>89</v>
      </c>
      <c r="H30" s="28">
        <v>69</v>
      </c>
      <c r="I30" s="28">
        <v>92</v>
      </c>
      <c r="J30" s="28">
        <v>76</v>
      </c>
      <c r="K30" s="28">
        <v>74</v>
      </c>
      <c r="L30" s="28">
        <v>95</v>
      </c>
      <c r="M30" s="28">
        <v>69</v>
      </c>
      <c r="N30" s="28">
        <v>81</v>
      </c>
      <c r="O30" s="28">
        <f>SUM(Table7[[#This Row],[Math]:[Physics]])</f>
        <v>973</v>
      </c>
      <c r="P30" s="29">
        <f t="shared" si="0"/>
        <v>0.81083333333333329</v>
      </c>
    </row>
    <row r="31" spans="1:16" x14ac:dyDescent="0.3">
      <c r="A31" s="28">
        <v>29</v>
      </c>
      <c r="B31" s="28" t="s">
        <v>181</v>
      </c>
      <c r="C31" s="28">
        <v>89</v>
      </c>
      <c r="D31" s="28">
        <v>87</v>
      </c>
      <c r="E31" s="28">
        <v>72</v>
      </c>
      <c r="F31" s="28">
        <v>65</v>
      </c>
      <c r="G31" s="28">
        <v>80</v>
      </c>
      <c r="H31" s="28">
        <v>84</v>
      </c>
      <c r="I31" s="28">
        <v>84</v>
      </c>
      <c r="J31" s="28">
        <v>65</v>
      </c>
      <c r="K31" s="28">
        <v>91</v>
      </c>
      <c r="L31" s="28">
        <v>67</v>
      </c>
      <c r="M31" s="28">
        <v>70</v>
      </c>
      <c r="N31" s="28">
        <v>94</v>
      </c>
      <c r="O31" s="28">
        <f>SUM(Table7[[#This Row],[Math]:[Physics]])</f>
        <v>948</v>
      </c>
      <c r="P31" s="29">
        <f t="shared" si="0"/>
        <v>0.79</v>
      </c>
    </row>
    <row r="32" spans="1:16" x14ac:dyDescent="0.3">
      <c r="A32" s="28">
        <v>30</v>
      </c>
      <c r="B32" s="28" t="s">
        <v>182</v>
      </c>
      <c r="C32" s="28">
        <v>76</v>
      </c>
      <c r="D32" s="28">
        <v>94</v>
      </c>
      <c r="E32" s="28">
        <v>76</v>
      </c>
      <c r="F32" s="28">
        <v>73</v>
      </c>
      <c r="G32" s="28">
        <v>91</v>
      </c>
      <c r="H32" s="28">
        <v>78</v>
      </c>
      <c r="I32" s="28">
        <v>75</v>
      </c>
      <c r="J32" s="28">
        <v>80</v>
      </c>
      <c r="K32" s="28">
        <v>77</v>
      </c>
      <c r="L32" s="28">
        <v>94</v>
      </c>
      <c r="M32" s="28">
        <v>87</v>
      </c>
      <c r="N32" s="28">
        <v>71</v>
      </c>
      <c r="O32" s="28">
        <f>SUM(Table7[[#This Row],[Math]:[Physics]])</f>
        <v>972</v>
      </c>
      <c r="P32" s="29">
        <f t="shared" si="0"/>
        <v>0.81</v>
      </c>
    </row>
  </sheetData>
  <mergeCells count="1">
    <mergeCell ref="A1:P1"/>
  </mergeCells>
  <conditionalFormatting sqref="P2">
    <cfRule type="dataBar" priority="1">
      <dataBar>
        <cfvo type="min"/>
        <cfvo type="max"/>
        <color rgb="FF008AEF"/>
      </dataBar>
      <extLst>
        <ext xmlns:x14="http://schemas.microsoft.com/office/spreadsheetml/2009/9/main" uri="{B025F937-C7B1-47D3-B67F-A62EFF666E3E}">
          <x14:id>{7762AC99-6A89-4CC0-902F-638FF486FB14}</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762AC99-6A89-4CC0-902F-638FF486FB14}">
            <x14:dataBar minLength="0" maxLength="100" gradient="0">
              <x14:cfvo type="autoMin"/>
              <x14:cfvo type="autoMax"/>
              <x14:negativeFillColor rgb="FFFF0000"/>
              <x14:axisColor rgb="FF000000"/>
            </x14:dataBar>
          </x14:cfRule>
          <xm:sqref>P2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75229-404A-4002-9642-31D95029ABA4}">
  <sheetPr>
    <tabColor rgb="FFC00000"/>
  </sheetPr>
  <dimension ref="A1:P32"/>
  <sheetViews>
    <sheetView workbookViewId="0">
      <selection sqref="A1:P1"/>
    </sheetView>
  </sheetViews>
  <sheetFormatPr defaultRowHeight="14.4" x14ac:dyDescent="0.3"/>
  <cols>
    <col min="1" max="1" width="11.77734375" customWidth="1"/>
    <col min="2" max="2" width="13.77734375" bestFit="1" customWidth="1"/>
    <col min="4" max="4" width="9.21875" customWidth="1"/>
    <col min="7" max="7" width="16.5546875" customWidth="1"/>
    <col min="8" max="8" width="11.88671875" customWidth="1"/>
    <col min="9" max="9" width="12.109375" customWidth="1"/>
    <col min="11" max="11" width="18.109375" customWidth="1"/>
    <col min="13" max="13" width="11.33203125" customWidth="1"/>
    <col min="14" max="14" width="9" customWidth="1"/>
    <col min="16" max="16" width="8.88671875" style="15"/>
  </cols>
  <sheetData>
    <row r="1" spans="1:16" ht="23.4" x14ac:dyDescent="0.45">
      <c r="A1" s="44" t="s">
        <v>235</v>
      </c>
      <c r="B1" s="44"/>
      <c r="C1" s="44"/>
      <c r="D1" s="44"/>
      <c r="E1" s="44"/>
      <c r="F1" s="44"/>
      <c r="G1" s="44" t="s">
        <v>230</v>
      </c>
      <c r="H1" s="44"/>
      <c r="I1" s="44"/>
      <c r="J1" s="44"/>
      <c r="K1" s="44"/>
      <c r="L1" s="44"/>
      <c r="M1" s="44"/>
      <c r="N1" s="44"/>
      <c r="O1" s="44"/>
      <c r="P1" s="44"/>
    </row>
    <row r="2" spans="1:16" x14ac:dyDescent="0.3">
      <c r="A2" t="s">
        <v>12</v>
      </c>
      <c r="B2" t="s">
        <v>0</v>
      </c>
      <c r="C2" t="s">
        <v>2</v>
      </c>
      <c r="D2" t="s">
        <v>3</v>
      </c>
      <c r="E2" t="s">
        <v>4</v>
      </c>
      <c r="F2" t="s">
        <v>5</v>
      </c>
      <c r="G2" t="s">
        <v>6</v>
      </c>
      <c r="H2" t="s">
        <v>7</v>
      </c>
      <c r="I2" t="s">
        <v>8</v>
      </c>
      <c r="J2" t="s">
        <v>9</v>
      </c>
      <c r="K2" t="s">
        <v>10</v>
      </c>
      <c r="L2" t="s">
        <v>11</v>
      </c>
      <c r="M2" t="s">
        <v>40</v>
      </c>
      <c r="N2" t="s">
        <v>41</v>
      </c>
      <c r="O2" t="s">
        <v>48</v>
      </c>
      <c r="P2" s="1" t="s">
        <v>49</v>
      </c>
    </row>
    <row r="3" spans="1:16" x14ac:dyDescent="0.3">
      <c r="A3" s="28">
        <v>1</v>
      </c>
      <c r="B3" s="28" t="s">
        <v>140</v>
      </c>
      <c r="C3" s="28">
        <v>65</v>
      </c>
      <c r="D3" s="28">
        <v>84</v>
      </c>
      <c r="E3" s="28">
        <v>71</v>
      </c>
      <c r="F3" s="28">
        <v>88</v>
      </c>
      <c r="G3" s="28">
        <v>71</v>
      </c>
      <c r="H3" s="28">
        <v>92</v>
      </c>
      <c r="I3" s="28">
        <v>92</v>
      </c>
      <c r="J3" s="28">
        <v>75</v>
      </c>
      <c r="K3" s="28">
        <v>85</v>
      </c>
      <c r="L3" s="28">
        <v>71</v>
      </c>
      <c r="M3" s="28">
        <v>94</v>
      </c>
      <c r="N3" s="28">
        <v>67</v>
      </c>
      <c r="O3" s="28">
        <f>SUM(Table8[[#This Row],[Math]:[Physics]])</f>
        <v>955</v>
      </c>
      <c r="P3" s="29">
        <f t="shared" ref="P3:P32" si="0">SUM(C3:N3)/1200</f>
        <v>0.79583333333333328</v>
      </c>
    </row>
    <row r="4" spans="1:16" x14ac:dyDescent="0.3">
      <c r="A4" s="28">
        <v>2</v>
      </c>
      <c r="B4" s="28" t="s">
        <v>183</v>
      </c>
      <c r="C4" s="28">
        <v>88</v>
      </c>
      <c r="D4" s="28">
        <v>95</v>
      </c>
      <c r="E4" s="28">
        <v>76</v>
      </c>
      <c r="F4" s="28">
        <v>82</v>
      </c>
      <c r="G4" s="28">
        <v>67</v>
      </c>
      <c r="H4" s="28">
        <v>84</v>
      </c>
      <c r="I4" s="28">
        <v>70</v>
      </c>
      <c r="J4" s="28">
        <v>88</v>
      </c>
      <c r="K4" s="28">
        <v>82</v>
      </c>
      <c r="L4" s="28">
        <v>78</v>
      </c>
      <c r="M4" s="28">
        <v>77</v>
      </c>
      <c r="N4" s="28">
        <v>91</v>
      </c>
      <c r="O4" s="28">
        <f>SUM(Table8[[#This Row],[Math]:[Physics]])</f>
        <v>978</v>
      </c>
      <c r="P4" s="29">
        <f t="shared" si="0"/>
        <v>0.81499999999999995</v>
      </c>
    </row>
    <row r="5" spans="1:16" x14ac:dyDescent="0.3">
      <c r="A5" s="28">
        <v>3</v>
      </c>
      <c r="B5" s="28" t="s">
        <v>184</v>
      </c>
      <c r="C5" s="28">
        <v>86</v>
      </c>
      <c r="D5" s="28">
        <v>68</v>
      </c>
      <c r="E5" s="28">
        <v>89</v>
      </c>
      <c r="F5" s="28">
        <v>78</v>
      </c>
      <c r="G5" s="28">
        <v>66</v>
      </c>
      <c r="H5" s="28">
        <v>84</v>
      </c>
      <c r="I5" s="28">
        <v>79</v>
      </c>
      <c r="J5" s="28">
        <v>88</v>
      </c>
      <c r="K5" s="28">
        <v>79</v>
      </c>
      <c r="L5" s="28">
        <v>68</v>
      </c>
      <c r="M5" s="28">
        <v>88</v>
      </c>
      <c r="N5" s="28">
        <v>71</v>
      </c>
      <c r="O5" s="28">
        <f>SUM(Table8[[#This Row],[Math]:[Physics]])</f>
        <v>944</v>
      </c>
      <c r="P5" s="29">
        <f t="shared" si="0"/>
        <v>0.78666666666666663</v>
      </c>
    </row>
    <row r="6" spans="1:16" x14ac:dyDescent="0.3">
      <c r="A6" s="28">
        <v>4</v>
      </c>
      <c r="B6" s="28" t="s">
        <v>185</v>
      </c>
      <c r="C6" s="28">
        <v>79</v>
      </c>
      <c r="D6" s="28">
        <v>75</v>
      </c>
      <c r="E6" s="28">
        <v>93</v>
      </c>
      <c r="F6" s="28">
        <v>79</v>
      </c>
      <c r="G6" s="28">
        <v>77</v>
      </c>
      <c r="H6" s="28">
        <v>89</v>
      </c>
      <c r="I6" s="28">
        <v>76</v>
      </c>
      <c r="J6" s="28">
        <v>94</v>
      </c>
      <c r="K6" s="28">
        <v>84</v>
      </c>
      <c r="L6" s="28">
        <v>77</v>
      </c>
      <c r="M6" s="28">
        <v>73</v>
      </c>
      <c r="N6" s="28">
        <v>65</v>
      </c>
      <c r="O6" s="28">
        <f>SUM(Table8[[#This Row],[Math]:[Physics]])</f>
        <v>961</v>
      </c>
      <c r="P6" s="29">
        <f t="shared" si="0"/>
        <v>0.80083333333333329</v>
      </c>
    </row>
    <row r="7" spans="1:16" x14ac:dyDescent="0.3">
      <c r="A7" s="28">
        <v>5</v>
      </c>
      <c r="B7" s="28" t="s">
        <v>45</v>
      </c>
      <c r="C7" s="28">
        <v>93</v>
      </c>
      <c r="D7" s="28">
        <v>84</v>
      </c>
      <c r="E7" s="28">
        <v>74</v>
      </c>
      <c r="F7" s="28">
        <v>86</v>
      </c>
      <c r="G7" s="28">
        <v>70</v>
      </c>
      <c r="H7" s="28">
        <v>70</v>
      </c>
      <c r="I7" s="28">
        <v>72</v>
      </c>
      <c r="J7" s="28">
        <v>95</v>
      </c>
      <c r="K7" s="28">
        <v>65</v>
      </c>
      <c r="L7" s="28">
        <v>68</v>
      </c>
      <c r="M7" s="28">
        <v>69</v>
      </c>
      <c r="N7" s="28">
        <v>71</v>
      </c>
      <c r="O7" s="28">
        <f>SUM(Table8[[#This Row],[Math]:[Physics]])</f>
        <v>917</v>
      </c>
      <c r="P7" s="29">
        <f t="shared" si="0"/>
        <v>0.76416666666666666</v>
      </c>
    </row>
    <row r="8" spans="1:16" x14ac:dyDescent="0.3">
      <c r="A8" s="28">
        <v>6</v>
      </c>
      <c r="B8" s="28" t="s">
        <v>165</v>
      </c>
      <c r="C8" s="28">
        <v>70</v>
      </c>
      <c r="D8" s="28">
        <v>95</v>
      </c>
      <c r="E8" s="28">
        <v>88</v>
      </c>
      <c r="F8" s="28">
        <v>88</v>
      </c>
      <c r="G8" s="28">
        <v>84</v>
      </c>
      <c r="H8" s="28">
        <v>87</v>
      </c>
      <c r="I8" s="28">
        <v>79</v>
      </c>
      <c r="J8" s="28">
        <v>91</v>
      </c>
      <c r="K8" s="28">
        <v>70</v>
      </c>
      <c r="L8" s="28">
        <v>80</v>
      </c>
      <c r="M8" s="28">
        <v>78</v>
      </c>
      <c r="N8" s="28">
        <v>93</v>
      </c>
      <c r="O8" s="28">
        <f>SUM(Table8[[#This Row],[Math]:[Physics]])</f>
        <v>1003</v>
      </c>
      <c r="P8" s="29">
        <f t="shared" si="0"/>
        <v>0.83583333333333332</v>
      </c>
    </row>
    <row r="9" spans="1:16" x14ac:dyDescent="0.3">
      <c r="A9" s="28">
        <v>7</v>
      </c>
      <c r="B9" s="28" t="s">
        <v>144</v>
      </c>
      <c r="C9" s="28">
        <v>70</v>
      </c>
      <c r="D9" s="28">
        <v>87</v>
      </c>
      <c r="E9" s="28">
        <v>77</v>
      </c>
      <c r="F9" s="28">
        <v>90</v>
      </c>
      <c r="G9" s="28">
        <v>67</v>
      </c>
      <c r="H9" s="28">
        <v>88</v>
      </c>
      <c r="I9" s="28">
        <v>92</v>
      </c>
      <c r="J9" s="28">
        <v>80</v>
      </c>
      <c r="K9" s="28">
        <v>75</v>
      </c>
      <c r="L9" s="28">
        <v>81</v>
      </c>
      <c r="M9" s="28">
        <v>91</v>
      </c>
      <c r="N9" s="28">
        <v>86</v>
      </c>
      <c r="O9" s="28">
        <f>SUM(Table8[[#This Row],[Math]:[Physics]])</f>
        <v>984</v>
      </c>
      <c r="P9" s="29">
        <f t="shared" si="0"/>
        <v>0.82</v>
      </c>
    </row>
    <row r="10" spans="1:16" x14ac:dyDescent="0.3">
      <c r="A10" s="28">
        <v>8</v>
      </c>
      <c r="B10" s="28" t="s">
        <v>186</v>
      </c>
      <c r="C10" s="28">
        <v>76</v>
      </c>
      <c r="D10" s="28">
        <v>67</v>
      </c>
      <c r="E10" s="28">
        <v>91</v>
      </c>
      <c r="F10" s="28">
        <v>72</v>
      </c>
      <c r="G10" s="28">
        <v>89</v>
      </c>
      <c r="H10" s="28">
        <v>67</v>
      </c>
      <c r="I10" s="28">
        <v>65</v>
      </c>
      <c r="J10" s="28">
        <v>81</v>
      </c>
      <c r="K10" s="28">
        <v>91</v>
      </c>
      <c r="L10" s="28">
        <v>85</v>
      </c>
      <c r="M10" s="28">
        <v>95</v>
      </c>
      <c r="N10" s="28">
        <v>84</v>
      </c>
      <c r="O10" s="28">
        <f>SUM(Table8[[#This Row],[Math]:[Physics]])</f>
        <v>963</v>
      </c>
      <c r="P10" s="29">
        <f t="shared" si="0"/>
        <v>0.80249999999999999</v>
      </c>
    </row>
    <row r="11" spans="1:16" x14ac:dyDescent="0.3">
      <c r="A11" s="28">
        <v>9</v>
      </c>
      <c r="B11" s="28" t="s">
        <v>187</v>
      </c>
      <c r="C11" s="28">
        <v>68</v>
      </c>
      <c r="D11" s="28">
        <v>75</v>
      </c>
      <c r="E11" s="28">
        <v>79</v>
      </c>
      <c r="F11" s="28">
        <v>93</v>
      </c>
      <c r="G11" s="28">
        <v>94</v>
      </c>
      <c r="H11" s="28">
        <v>94</v>
      </c>
      <c r="I11" s="28">
        <v>73</v>
      </c>
      <c r="J11" s="28">
        <v>74</v>
      </c>
      <c r="K11" s="28">
        <v>93</v>
      </c>
      <c r="L11" s="28">
        <v>68</v>
      </c>
      <c r="M11" s="28">
        <v>92</v>
      </c>
      <c r="N11" s="28">
        <v>94</v>
      </c>
      <c r="O11" s="28">
        <f>SUM(Table8[[#This Row],[Math]:[Physics]])</f>
        <v>997</v>
      </c>
      <c r="P11" s="29">
        <f t="shared" si="0"/>
        <v>0.83083333333333331</v>
      </c>
    </row>
    <row r="12" spans="1:16" x14ac:dyDescent="0.3">
      <c r="A12" s="28">
        <v>10</v>
      </c>
      <c r="B12" s="28" t="s">
        <v>169</v>
      </c>
      <c r="C12" s="28">
        <v>94</v>
      </c>
      <c r="D12" s="28">
        <v>67</v>
      </c>
      <c r="E12" s="28">
        <v>83</v>
      </c>
      <c r="F12" s="28">
        <v>88</v>
      </c>
      <c r="G12" s="28">
        <v>73</v>
      </c>
      <c r="H12" s="28">
        <v>69</v>
      </c>
      <c r="I12" s="28">
        <v>95</v>
      </c>
      <c r="J12" s="28">
        <v>94</v>
      </c>
      <c r="K12" s="28">
        <v>90</v>
      </c>
      <c r="L12" s="28">
        <v>78</v>
      </c>
      <c r="M12" s="28">
        <v>77</v>
      </c>
      <c r="N12" s="28">
        <v>82</v>
      </c>
      <c r="O12" s="28">
        <f>SUM(Table8[[#This Row],[Math]:[Physics]])</f>
        <v>990</v>
      </c>
      <c r="P12" s="29">
        <f t="shared" si="0"/>
        <v>0.82499999999999996</v>
      </c>
    </row>
    <row r="13" spans="1:16" x14ac:dyDescent="0.3">
      <c r="A13" s="28">
        <v>11</v>
      </c>
      <c r="B13" s="28" t="s">
        <v>188</v>
      </c>
      <c r="C13" s="28">
        <v>88</v>
      </c>
      <c r="D13" s="28">
        <v>68</v>
      </c>
      <c r="E13" s="28">
        <v>75</v>
      </c>
      <c r="F13" s="28">
        <v>88</v>
      </c>
      <c r="G13" s="28">
        <v>79</v>
      </c>
      <c r="H13" s="28">
        <v>74</v>
      </c>
      <c r="I13" s="28">
        <v>83</v>
      </c>
      <c r="J13" s="28">
        <v>89</v>
      </c>
      <c r="K13" s="28">
        <v>79</v>
      </c>
      <c r="L13" s="28">
        <v>80</v>
      </c>
      <c r="M13" s="28">
        <v>87</v>
      </c>
      <c r="N13" s="28">
        <v>95</v>
      </c>
      <c r="O13" s="28">
        <f>SUM(Table8[[#This Row],[Math]:[Physics]])</f>
        <v>985</v>
      </c>
      <c r="P13" s="29">
        <f t="shared" si="0"/>
        <v>0.8208333333333333</v>
      </c>
    </row>
    <row r="14" spans="1:16" x14ac:dyDescent="0.3">
      <c r="A14" s="28">
        <v>12</v>
      </c>
      <c r="B14" s="28" t="s">
        <v>97</v>
      </c>
      <c r="C14" s="28">
        <v>71</v>
      </c>
      <c r="D14" s="28">
        <v>72</v>
      </c>
      <c r="E14" s="28">
        <v>76</v>
      </c>
      <c r="F14" s="28">
        <v>87</v>
      </c>
      <c r="G14" s="28">
        <v>83</v>
      </c>
      <c r="H14" s="28">
        <v>95</v>
      </c>
      <c r="I14" s="28">
        <v>68</v>
      </c>
      <c r="J14" s="28">
        <v>79</v>
      </c>
      <c r="K14" s="28">
        <v>95</v>
      </c>
      <c r="L14" s="28">
        <v>77</v>
      </c>
      <c r="M14" s="28">
        <v>85</v>
      </c>
      <c r="N14" s="28">
        <v>86</v>
      </c>
      <c r="O14" s="28">
        <f>SUM(Table8[[#This Row],[Math]:[Physics]])</f>
        <v>974</v>
      </c>
      <c r="P14" s="29">
        <f t="shared" si="0"/>
        <v>0.81166666666666665</v>
      </c>
    </row>
    <row r="15" spans="1:16" x14ac:dyDescent="0.3">
      <c r="A15" s="28">
        <v>13</v>
      </c>
      <c r="B15" s="28" t="s">
        <v>147</v>
      </c>
      <c r="C15" s="28">
        <v>78</v>
      </c>
      <c r="D15" s="28">
        <v>79</v>
      </c>
      <c r="E15" s="28">
        <v>95</v>
      </c>
      <c r="F15" s="28">
        <v>88</v>
      </c>
      <c r="G15" s="28">
        <v>93</v>
      </c>
      <c r="H15" s="28">
        <v>73</v>
      </c>
      <c r="I15" s="28">
        <v>86</v>
      </c>
      <c r="J15" s="28">
        <v>79</v>
      </c>
      <c r="K15" s="28">
        <v>86</v>
      </c>
      <c r="L15" s="28">
        <v>91</v>
      </c>
      <c r="M15" s="28">
        <v>78</v>
      </c>
      <c r="N15" s="28">
        <v>67</v>
      </c>
      <c r="O15" s="28">
        <f>SUM(Table8[[#This Row],[Math]:[Physics]])</f>
        <v>993</v>
      </c>
      <c r="P15" s="29">
        <f t="shared" si="0"/>
        <v>0.82750000000000001</v>
      </c>
    </row>
    <row r="16" spans="1:16" x14ac:dyDescent="0.3">
      <c r="A16" s="28">
        <v>14</v>
      </c>
      <c r="B16" s="28" t="s">
        <v>189</v>
      </c>
      <c r="C16" s="28">
        <v>77</v>
      </c>
      <c r="D16" s="28">
        <v>95</v>
      </c>
      <c r="E16" s="28">
        <v>72</v>
      </c>
      <c r="F16" s="28">
        <v>80</v>
      </c>
      <c r="G16" s="28">
        <v>73</v>
      </c>
      <c r="H16" s="28">
        <v>77</v>
      </c>
      <c r="I16" s="28">
        <v>80</v>
      </c>
      <c r="J16" s="28">
        <v>73</v>
      </c>
      <c r="K16" s="28">
        <v>76</v>
      </c>
      <c r="L16" s="28">
        <v>88</v>
      </c>
      <c r="M16" s="28">
        <v>91</v>
      </c>
      <c r="N16" s="28">
        <v>85</v>
      </c>
      <c r="O16" s="28">
        <f>SUM(Table8[[#This Row],[Math]:[Physics]])</f>
        <v>967</v>
      </c>
      <c r="P16" s="29">
        <f t="shared" si="0"/>
        <v>0.80583333333333329</v>
      </c>
    </row>
    <row r="17" spans="1:16" x14ac:dyDescent="0.3">
      <c r="A17" s="28">
        <v>15</v>
      </c>
      <c r="B17" s="28" t="s">
        <v>190</v>
      </c>
      <c r="C17" s="28">
        <v>86</v>
      </c>
      <c r="D17" s="28">
        <v>94</v>
      </c>
      <c r="E17" s="28">
        <v>94</v>
      </c>
      <c r="F17" s="28">
        <v>80</v>
      </c>
      <c r="G17" s="28">
        <v>82</v>
      </c>
      <c r="H17" s="28">
        <v>87</v>
      </c>
      <c r="I17" s="28">
        <v>87</v>
      </c>
      <c r="J17" s="28">
        <v>69</v>
      </c>
      <c r="K17" s="28">
        <v>85</v>
      </c>
      <c r="L17" s="28">
        <v>68</v>
      </c>
      <c r="M17" s="28">
        <v>69</v>
      </c>
      <c r="N17" s="28">
        <v>79</v>
      </c>
      <c r="O17" s="28">
        <f>SUM(Table8[[#This Row],[Math]:[Physics]])</f>
        <v>980</v>
      </c>
      <c r="P17" s="29">
        <f t="shared" si="0"/>
        <v>0.81666666666666665</v>
      </c>
    </row>
    <row r="18" spans="1:16" x14ac:dyDescent="0.3">
      <c r="A18" s="28">
        <v>16</v>
      </c>
      <c r="B18" s="28" t="s">
        <v>191</v>
      </c>
      <c r="C18" s="28">
        <v>90</v>
      </c>
      <c r="D18" s="28">
        <v>75</v>
      </c>
      <c r="E18" s="28">
        <v>79</v>
      </c>
      <c r="F18" s="28">
        <v>65</v>
      </c>
      <c r="G18" s="28">
        <v>89</v>
      </c>
      <c r="H18" s="28">
        <v>72</v>
      </c>
      <c r="I18" s="28">
        <v>72</v>
      </c>
      <c r="J18" s="28">
        <v>65</v>
      </c>
      <c r="K18" s="28">
        <v>94</v>
      </c>
      <c r="L18" s="28">
        <v>85</v>
      </c>
      <c r="M18" s="28">
        <v>66</v>
      </c>
      <c r="N18" s="28">
        <v>84</v>
      </c>
      <c r="O18" s="28">
        <f>SUM(Table8[[#This Row],[Math]:[Physics]])</f>
        <v>936</v>
      </c>
      <c r="P18" s="29">
        <f t="shared" si="0"/>
        <v>0.78</v>
      </c>
    </row>
    <row r="19" spans="1:16" x14ac:dyDescent="0.3">
      <c r="A19" s="28">
        <v>17</v>
      </c>
      <c r="B19" s="28" t="s">
        <v>192</v>
      </c>
      <c r="C19" s="28">
        <v>74</v>
      </c>
      <c r="D19" s="28">
        <v>74</v>
      </c>
      <c r="E19" s="28">
        <v>77</v>
      </c>
      <c r="F19" s="28">
        <v>65</v>
      </c>
      <c r="G19" s="28">
        <v>84</v>
      </c>
      <c r="H19" s="28">
        <v>94</v>
      </c>
      <c r="I19" s="28">
        <v>82</v>
      </c>
      <c r="J19" s="28">
        <v>75</v>
      </c>
      <c r="K19" s="28">
        <v>94</v>
      </c>
      <c r="L19" s="28">
        <v>71</v>
      </c>
      <c r="M19" s="28">
        <v>66</v>
      </c>
      <c r="N19" s="28">
        <v>81</v>
      </c>
      <c r="O19" s="28">
        <f>SUM(Table8[[#This Row],[Math]:[Physics]])</f>
        <v>937</v>
      </c>
      <c r="P19" s="29">
        <f t="shared" si="0"/>
        <v>0.78083333333333338</v>
      </c>
    </row>
    <row r="20" spans="1:16" x14ac:dyDescent="0.3">
      <c r="A20" s="28">
        <v>18</v>
      </c>
      <c r="B20" s="28" t="s">
        <v>103</v>
      </c>
      <c r="C20" s="28">
        <v>74</v>
      </c>
      <c r="D20" s="28">
        <v>82</v>
      </c>
      <c r="E20" s="28">
        <v>72</v>
      </c>
      <c r="F20" s="28">
        <v>65</v>
      </c>
      <c r="G20" s="28">
        <v>70</v>
      </c>
      <c r="H20" s="28">
        <v>80</v>
      </c>
      <c r="I20" s="28">
        <v>91</v>
      </c>
      <c r="J20" s="28">
        <v>89</v>
      </c>
      <c r="K20" s="28">
        <v>89</v>
      </c>
      <c r="L20" s="28">
        <v>94</v>
      </c>
      <c r="M20" s="28">
        <v>85</v>
      </c>
      <c r="N20" s="28">
        <v>82</v>
      </c>
      <c r="O20" s="28">
        <f>SUM(Table8[[#This Row],[Math]:[Physics]])</f>
        <v>973</v>
      </c>
      <c r="P20" s="29">
        <f t="shared" si="0"/>
        <v>0.81083333333333329</v>
      </c>
    </row>
    <row r="21" spans="1:16" x14ac:dyDescent="0.3">
      <c r="A21" s="28">
        <v>19</v>
      </c>
      <c r="B21" s="28" t="s">
        <v>193</v>
      </c>
      <c r="C21" s="28">
        <v>70</v>
      </c>
      <c r="D21" s="28">
        <v>71</v>
      </c>
      <c r="E21" s="28">
        <v>80</v>
      </c>
      <c r="F21" s="28">
        <v>94</v>
      </c>
      <c r="G21" s="28">
        <v>69</v>
      </c>
      <c r="H21" s="28">
        <v>76</v>
      </c>
      <c r="I21" s="28">
        <v>85</v>
      </c>
      <c r="J21" s="28">
        <v>80</v>
      </c>
      <c r="K21" s="28">
        <v>91</v>
      </c>
      <c r="L21" s="28">
        <v>71</v>
      </c>
      <c r="M21" s="28">
        <v>75</v>
      </c>
      <c r="N21" s="28">
        <v>94</v>
      </c>
      <c r="O21" s="28">
        <f>SUM(Table8[[#This Row],[Math]:[Physics]])</f>
        <v>956</v>
      </c>
      <c r="P21" s="29">
        <f t="shared" si="0"/>
        <v>0.79666666666666663</v>
      </c>
    </row>
    <row r="22" spans="1:16" x14ac:dyDescent="0.3">
      <c r="A22" s="28">
        <v>20</v>
      </c>
      <c r="B22" s="28" t="s">
        <v>194</v>
      </c>
      <c r="C22" s="28">
        <v>71</v>
      </c>
      <c r="D22" s="28">
        <v>88</v>
      </c>
      <c r="E22" s="28">
        <v>82</v>
      </c>
      <c r="F22" s="28">
        <v>95</v>
      </c>
      <c r="G22" s="28">
        <v>71</v>
      </c>
      <c r="H22" s="28">
        <v>77</v>
      </c>
      <c r="I22" s="28">
        <v>85</v>
      </c>
      <c r="J22" s="28">
        <v>82</v>
      </c>
      <c r="K22" s="28">
        <v>69</v>
      </c>
      <c r="L22" s="28">
        <v>74</v>
      </c>
      <c r="M22" s="28">
        <v>91</v>
      </c>
      <c r="N22" s="28">
        <v>78</v>
      </c>
      <c r="O22" s="28">
        <f>SUM(Table8[[#This Row],[Math]:[Physics]])</f>
        <v>963</v>
      </c>
      <c r="P22" s="29">
        <f t="shared" si="0"/>
        <v>0.80249999999999999</v>
      </c>
    </row>
    <row r="23" spans="1:16" x14ac:dyDescent="0.3">
      <c r="A23" s="28">
        <v>21</v>
      </c>
      <c r="B23" s="28" t="s">
        <v>154</v>
      </c>
      <c r="C23" s="28">
        <v>68</v>
      </c>
      <c r="D23" s="28">
        <v>81</v>
      </c>
      <c r="E23" s="28">
        <v>74</v>
      </c>
      <c r="F23" s="28">
        <v>74</v>
      </c>
      <c r="G23" s="28">
        <v>66</v>
      </c>
      <c r="H23" s="28">
        <v>75</v>
      </c>
      <c r="I23" s="28">
        <v>70</v>
      </c>
      <c r="J23" s="28">
        <v>88</v>
      </c>
      <c r="K23" s="28">
        <v>75</v>
      </c>
      <c r="L23" s="28">
        <v>75</v>
      </c>
      <c r="M23" s="28">
        <v>76</v>
      </c>
      <c r="N23" s="28">
        <v>89</v>
      </c>
      <c r="O23" s="28">
        <f>SUM(Table8[[#This Row],[Math]:[Physics]])</f>
        <v>911</v>
      </c>
      <c r="P23" s="29">
        <f t="shared" si="0"/>
        <v>0.75916666666666666</v>
      </c>
    </row>
    <row r="24" spans="1:16" x14ac:dyDescent="0.3">
      <c r="A24" s="28">
        <v>22</v>
      </c>
      <c r="B24" s="28" t="s">
        <v>47</v>
      </c>
      <c r="C24" s="28">
        <v>84</v>
      </c>
      <c r="D24" s="28">
        <v>74</v>
      </c>
      <c r="E24" s="28">
        <v>94</v>
      </c>
      <c r="F24" s="28">
        <v>90</v>
      </c>
      <c r="G24" s="28">
        <v>80</v>
      </c>
      <c r="H24" s="28">
        <v>81</v>
      </c>
      <c r="I24" s="28">
        <v>86</v>
      </c>
      <c r="J24" s="28">
        <v>70</v>
      </c>
      <c r="K24" s="28">
        <v>86</v>
      </c>
      <c r="L24" s="28">
        <v>69</v>
      </c>
      <c r="M24" s="28">
        <v>90</v>
      </c>
      <c r="N24" s="28">
        <v>75</v>
      </c>
      <c r="O24" s="28">
        <f>SUM(Table8[[#This Row],[Math]:[Physics]])</f>
        <v>979</v>
      </c>
      <c r="P24" s="29">
        <f t="shared" si="0"/>
        <v>0.8158333333333333</v>
      </c>
    </row>
    <row r="25" spans="1:16" x14ac:dyDescent="0.3">
      <c r="A25" s="28">
        <v>23</v>
      </c>
      <c r="B25" s="28" t="s">
        <v>195</v>
      </c>
      <c r="C25" s="28">
        <v>91</v>
      </c>
      <c r="D25" s="28">
        <v>91</v>
      </c>
      <c r="E25" s="28">
        <v>89</v>
      </c>
      <c r="F25" s="28">
        <v>91</v>
      </c>
      <c r="G25" s="28">
        <v>70</v>
      </c>
      <c r="H25" s="28">
        <v>73</v>
      </c>
      <c r="I25" s="28">
        <v>67</v>
      </c>
      <c r="J25" s="28">
        <v>90</v>
      </c>
      <c r="K25" s="28">
        <v>91</v>
      </c>
      <c r="L25" s="28">
        <v>91</v>
      </c>
      <c r="M25" s="28">
        <v>66</v>
      </c>
      <c r="N25" s="28">
        <v>93</v>
      </c>
      <c r="O25" s="28">
        <f>SUM(Table8[[#This Row],[Math]:[Physics]])</f>
        <v>1003</v>
      </c>
      <c r="P25" s="29">
        <f t="shared" si="0"/>
        <v>0.83583333333333332</v>
      </c>
    </row>
    <row r="26" spans="1:16" x14ac:dyDescent="0.3">
      <c r="A26" s="28">
        <v>24</v>
      </c>
      <c r="B26" s="28" t="s">
        <v>196</v>
      </c>
      <c r="C26" s="28">
        <v>88</v>
      </c>
      <c r="D26" s="28">
        <v>86</v>
      </c>
      <c r="E26" s="28">
        <v>71</v>
      </c>
      <c r="F26" s="28">
        <v>92</v>
      </c>
      <c r="G26" s="28">
        <v>73</v>
      </c>
      <c r="H26" s="28">
        <v>81</v>
      </c>
      <c r="I26" s="28">
        <v>82</v>
      </c>
      <c r="J26" s="28">
        <v>86</v>
      </c>
      <c r="K26" s="28">
        <v>66</v>
      </c>
      <c r="L26" s="28">
        <v>73</v>
      </c>
      <c r="M26" s="28">
        <v>68</v>
      </c>
      <c r="N26" s="28">
        <v>83</v>
      </c>
      <c r="O26" s="28">
        <f>SUM(Table8[[#This Row],[Math]:[Physics]])</f>
        <v>949</v>
      </c>
      <c r="P26" s="29">
        <f t="shared" si="0"/>
        <v>0.79083333333333339</v>
      </c>
    </row>
    <row r="27" spans="1:16" x14ac:dyDescent="0.3">
      <c r="A27" s="28">
        <v>25</v>
      </c>
      <c r="B27" s="28" t="s">
        <v>197</v>
      </c>
      <c r="C27" s="28">
        <v>89</v>
      </c>
      <c r="D27" s="28">
        <v>81</v>
      </c>
      <c r="E27" s="28">
        <v>77</v>
      </c>
      <c r="F27" s="28">
        <v>85</v>
      </c>
      <c r="G27" s="28">
        <v>87</v>
      </c>
      <c r="H27" s="28">
        <v>84</v>
      </c>
      <c r="I27" s="28">
        <v>79</v>
      </c>
      <c r="J27" s="28">
        <v>65</v>
      </c>
      <c r="K27" s="28">
        <v>84</v>
      </c>
      <c r="L27" s="28">
        <v>81</v>
      </c>
      <c r="M27" s="28">
        <v>72</v>
      </c>
      <c r="N27" s="28">
        <v>80</v>
      </c>
      <c r="O27" s="28">
        <f>SUM(Table8[[#This Row],[Math]:[Physics]])</f>
        <v>964</v>
      </c>
      <c r="P27" s="29">
        <f t="shared" si="0"/>
        <v>0.80333333333333334</v>
      </c>
    </row>
    <row r="28" spans="1:16" x14ac:dyDescent="0.3">
      <c r="A28" s="28">
        <v>26</v>
      </c>
      <c r="B28" s="28" t="s">
        <v>198</v>
      </c>
      <c r="C28" s="28">
        <v>73</v>
      </c>
      <c r="D28" s="28">
        <v>93</v>
      </c>
      <c r="E28" s="28">
        <v>80</v>
      </c>
      <c r="F28" s="28">
        <v>92</v>
      </c>
      <c r="G28" s="28">
        <v>83</v>
      </c>
      <c r="H28" s="28">
        <v>93</v>
      </c>
      <c r="I28" s="28">
        <v>93</v>
      </c>
      <c r="J28" s="28">
        <v>84</v>
      </c>
      <c r="K28" s="28">
        <v>86</v>
      </c>
      <c r="L28" s="28">
        <v>90</v>
      </c>
      <c r="M28" s="28">
        <v>89</v>
      </c>
      <c r="N28" s="28">
        <v>91</v>
      </c>
      <c r="O28" s="28">
        <f>SUM(Table8[[#This Row],[Math]:[Physics]])</f>
        <v>1047</v>
      </c>
      <c r="P28" s="29">
        <f t="shared" si="0"/>
        <v>0.87250000000000005</v>
      </c>
    </row>
    <row r="29" spans="1:16" x14ac:dyDescent="0.3">
      <c r="A29" s="28">
        <v>27</v>
      </c>
      <c r="B29" s="28" t="s">
        <v>112</v>
      </c>
      <c r="C29" s="28">
        <v>95</v>
      </c>
      <c r="D29" s="28">
        <v>73</v>
      </c>
      <c r="E29" s="28">
        <v>92</v>
      </c>
      <c r="F29" s="28">
        <v>92</v>
      </c>
      <c r="G29" s="28">
        <v>88</v>
      </c>
      <c r="H29" s="28">
        <v>81</v>
      </c>
      <c r="I29" s="28">
        <v>66</v>
      </c>
      <c r="J29" s="28">
        <v>85</v>
      </c>
      <c r="K29" s="28">
        <v>68</v>
      </c>
      <c r="L29" s="28">
        <v>70</v>
      </c>
      <c r="M29" s="28">
        <v>76</v>
      </c>
      <c r="N29" s="28">
        <v>66</v>
      </c>
      <c r="O29" s="28">
        <f>SUM(Table8[[#This Row],[Math]:[Physics]])</f>
        <v>952</v>
      </c>
      <c r="P29" s="29">
        <f t="shared" si="0"/>
        <v>0.79333333333333333</v>
      </c>
    </row>
    <row r="30" spans="1:16" x14ac:dyDescent="0.3">
      <c r="A30" s="28">
        <v>28</v>
      </c>
      <c r="B30" s="28" t="s">
        <v>160</v>
      </c>
      <c r="C30" s="28">
        <v>91</v>
      </c>
      <c r="D30" s="28">
        <v>93</v>
      </c>
      <c r="E30" s="28">
        <v>94</v>
      </c>
      <c r="F30" s="28">
        <v>93</v>
      </c>
      <c r="G30" s="28">
        <v>79</v>
      </c>
      <c r="H30" s="28">
        <v>71</v>
      </c>
      <c r="I30" s="28">
        <v>91</v>
      </c>
      <c r="J30" s="28">
        <v>91</v>
      </c>
      <c r="K30" s="28">
        <v>72</v>
      </c>
      <c r="L30" s="28">
        <v>86</v>
      </c>
      <c r="M30" s="28">
        <v>80</v>
      </c>
      <c r="N30" s="28">
        <v>69</v>
      </c>
      <c r="O30" s="28">
        <f>SUM(Table8[[#This Row],[Math]:[Physics]])</f>
        <v>1010</v>
      </c>
      <c r="P30" s="29">
        <f t="shared" si="0"/>
        <v>0.84166666666666667</v>
      </c>
    </row>
    <row r="31" spans="1:16" x14ac:dyDescent="0.3">
      <c r="A31" s="28">
        <v>29</v>
      </c>
      <c r="B31" s="28" t="s">
        <v>181</v>
      </c>
      <c r="C31" s="28">
        <v>69</v>
      </c>
      <c r="D31" s="28">
        <v>95</v>
      </c>
      <c r="E31" s="28">
        <v>70</v>
      </c>
      <c r="F31" s="28">
        <v>89</v>
      </c>
      <c r="G31" s="28">
        <v>74</v>
      </c>
      <c r="H31" s="28">
        <v>91</v>
      </c>
      <c r="I31" s="28">
        <v>73</v>
      </c>
      <c r="J31" s="28">
        <v>71</v>
      </c>
      <c r="K31" s="28">
        <v>84</v>
      </c>
      <c r="L31" s="28">
        <v>83</v>
      </c>
      <c r="M31" s="28">
        <v>75</v>
      </c>
      <c r="N31" s="28">
        <v>88</v>
      </c>
      <c r="O31" s="28">
        <f>SUM(Table8[[#This Row],[Math]:[Physics]])</f>
        <v>962</v>
      </c>
      <c r="P31" s="29">
        <f t="shared" si="0"/>
        <v>0.80166666666666664</v>
      </c>
    </row>
    <row r="32" spans="1:16" x14ac:dyDescent="0.3">
      <c r="A32" s="28">
        <v>30</v>
      </c>
      <c r="B32" s="28" t="s">
        <v>199</v>
      </c>
      <c r="C32" s="28">
        <v>70</v>
      </c>
      <c r="D32" s="28">
        <v>77</v>
      </c>
      <c r="E32" s="28">
        <v>75</v>
      </c>
      <c r="F32" s="28">
        <v>83</v>
      </c>
      <c r="G32" s="28">
        <v>71</v>
      </c>
      <c r="H32" s="28">
        <v>85</v>
      </c>
      <c r="I32" s="28">
        <v>75</v>
      </c>
      <c r="J32" s="28">
        <v>91</v>
      </c>
      <c r="K32" s="28">
        <v>74</v>
      </c>
      <c r="L32" s="28">
        <v>71</v>
      </c>
      <c r="M32" s="28">
        <v>73</v>
      </c>
      <c r="N32" s="28">
        <v>75</v>
      </c>
      <c r="O32" s="28">
        <f>SUM(Table8[[#This Row],[Math]:[Physics]])</f>
        <v>920</v>
      </c>
      <c r="P32" s="29">
        <f t="shared" si="0"/>
        <v>0.76666666666666672</v>
      </c>
    </row>
  </sheetData>
  <mergeCells count="1">
    <mergeCell ref="A1:P1"/>
  </mergeCells>
  <conditionalFormatting sqref="P2">
    <cfRule type="dataBar" priority="1">
      <dataBar>
        <cfvo type="min"/>
        <cfvo type="max"/>
        <color rgb="FF008AEF"/>
      </dataBar>
      <extLst>
        <ext xmlns:x14="http://schemas.microsoft.com/office/spreadsheetml/2009/9/main" uri="{B025F937-C7B1-47D3-B67F-A62EFF666E3E}">
          <x14:id>{23E86B13-2CE0-48F5-B9C5-4136C6450947}</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3E86B13-2CE0-48F5-B9C5-4136C6450947}">
            <x14:dataBar minLength="0" maxLength="100" gradient="0">
              <x14:cfvo type="autoMin"/>
              <x14:cfvo type="autoMax"/>
              <x14:negativeFillColor rgb="FFFF0000"/>
              <x14:axisColor rgb="FF000000"/>
            </x14:dataBar>
          </x14:cfRule>
          <xm:sqref>P2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H5701"/>
  <sheetViews>
    <sheetView zoomScaleNormal="100" workbookViewId="0">
      <pane ySplit="2" topLeftCell="A3" activePane="bottomLeft" state="frozen"/>
      <selection pane="bottomLeft" sqref="A1:H1"/>
    </sheetView>
  </sheetViews>
  <sheetFormatPr defaultRowHeight="14.4" x14ac:dyDescent="0.3"/>
  <cols>
    <col min="1" max="1" width="15.5546875" bestFit="1" customWidth="1"/>
    <col min="2" max="2" width="19.6640625" bestFit="1" customWidth="1"/>
    <col min="3" max="3" width="10.21875" bestFit="1" customWidth="1"/>
    <col min="4" max="4" width="15.5546875" bestFit="1" customWidth="1"/>
    <col min="5" max="5" width="17.33203125" bestFit="1" customWidth="1"/>
    <col min="6" max="6" width="16.77734375" style="2" bestFit="1" customWidth="1"/>
    <col min="7" max="7" width="16.77734375" style="12" customWidth="1"/>
    <col min="8" max="8" width="12.5546875" bestFit="1" customWidth="1"/>
  </cols>
  <sheetData>
    <row r="1" spans="1:8" ht="23.4" x14ac:dyDescent="0.45">
      <c r="A1" s="45" t="s">
        <v>228</v>
      </c>
      <c r="B1" s="45"/>
      <c r="C1" s="45"/>
      <c r="D1" s="45"/>
      <c r="E1" s="45"/>
      <c r="F1" s="45"/>
      <c r="G1" s="45"/>
      <c r="H1" s="45"/>
    </row>
    <row r="2" spans="1:8" ht="18" x14ac:dyDescent="0.35">
      <c r="A2" s="8" t="s">
        <v>13</v>
      </c>
      <c r="B2" s="9" t="s">
        <v>14</v>
      </c>
      <c r="C2" s="9" t="s">
        <v>15</v>
      </c>
      <c r="D2" s="9" t="s">
        <v>16</v>
      </c>
      <c r="E2" s="9" t="s">
        <v>200</v>
      </c>
      <c r="F2" s="20" t="s">
        <v>17</v>
      </c>
      <c r="G2" s="19" t="s">
        <v>201</v>
      </c>
      <c r="H2" s="16" t="s">
        <v>87</v>
      </c>
    </row>
    <row r="3" spans="1:8" x14ac:dyDescent="0.3">
      <c r="A3" s="10" t="s">
        <v>18</v>
      </c>
      <c r="B3" s="11" t="s">
        <v>19</v>
      </c>
      <c r="C3" s="11">
        <v>2025</v>
      </c>
      <c r="D3" s="11" t="s">
        <v>20</v>
      </c>
      <c r="E3" s="11" t="s">
        <v>21</v>
      </c>
      <c r="F3" s="21">
        <v>45672</v>
      </c>
      <c r="G3" s="11" t="str">
        <f xml:space="preserve"> TEXT(Table2[[#This Row],[Due Date]],"MMM")</f>
        <v>Jan</v>
      </c>
      <c r="H3" s="17" t="s">
        <v>81</v>
      </c>
    </row>
    <row r="4" spans="1:8" x14ac:dyDescent="0.3">
      <c r="A4" s="10" t="s">
        <v>22</v>
      </c>
      <c r="B4" s="11" t="s">
        <v>23</v>
      </c>
      <c r="C4" s="11">
        <v>2025</v>
      </c>
      <c r="D4" s="11" t="s">
        <v>20</v>
      </c>
      <c r="E4" s="11" t="s">
        <v>56</v>
      </c>
      <c r="F4" s="21">
        <v>45682</v>
      </c>
      <c r="G4" s="11" t="str">
        <f xml:space="preserve"> TEXT(Table2[[#This Row],[Due Date]],"MMM")</f>
        <v>Jan</v>
      </c>
      <c r="H4" s="17" t="s">
        <v>81</v>
      </c>
    </row>
    <row r="5" spans="1:8" x14ac:dyDescent="0.3">
      <c r="A5" s="10" t="s">
        <v>57</v>
      </c>
      <c r="B5" s="11" t="s">
        <v>58</v>
      </c>
      <c r="C5" s="11">
        <v>2025</v>
      </c>
      <c r="D5" s="11" t="s">
        <v>20</v>
      </c>
      <c r="E5" s="11" t="s">
        <v>59</v>
      </c>
      <c r="F5" s="21">
        <v>45703</v>
      </c>
      <c r="G5" s="11" t="str">
        <f xml:space="preserve"> TEXT(Table2[[#This Row],[Due Date]],"MMM")</f>
        <v>Feb</v>
      </c>
      <c r="H5" s="17" t="s">
        <v>81</v>
      </c>
    </row>
    <row r="6" spans="1:8" x14ac:dyDescent="0.3">
      <c r="A6" s="10" t="s">
        <v>60</v>
      </c>
      <c r="B6" s="11" t="s">
        <v>3</v>
      </c>
      <c r="C6" s="11">
        <v>2025</v>
      </c>
      <c r="D6" s="11" t="s">
        <v>20</v>
      </c>
      <c r="E6" s="11" t="s">
        <v>61</v>
      </c>
      <c r="F6" s="21">
        <v>45721</v>
      </c>
      <c r="G6" s="11" t="str">
        <f xml:space="preserve"> TEXT(Table2[[#This Row],[Due Date]],"MMM")</f>
        <v>Mar</v>
      </c>
      <c r="H6" s="17" t="s">
        <v>81</v>
      </c>
    </row>
    <row r="7" spans="1:8" x14ac:dyDescent="0.3">
      <c r="A7" s="10" t="s">
        <v>62</v>
      </c>
      <c r="B7" s="11" t="s">
        <v>5</v>
      </c>
      <c r="C7" s="11">
        <v>2025</v>
      </c>
      <c r="D7" s="11" t="s">
        <v>20</v>
      </c>
      <c r="E7" s="11" t="s">
        <v>63</v>
      </c>
      <c r="F7" s="21">
        <v>45726</v>
      </c>
      <c r="G7" s="11" t="str">
        <f xml:space="preserve"> TEXT(Table2[[#This Row],[Due Date]],"MMM")</f>
        <v>Mar</v>
      </c>
      <c r="H7" s="17" t="s">
        <v>81</v>
      </c>
    </row>
    <row r="8" spans="1:8" x14ac:dyDescent="0.3">
      <c r="A8" s="10" t="s">
        <v>64</v>
      </c>
      <c r="B8" s="11" t="s">
        <v>6</v>
      </c>
      <c r="C8" s="11">
        <v>2025</v>
      </c>
      <c r="D8" s="11" t="s">
        <v>20</v>
      </c>
      <c r="E8" s="11" t="s">
        <v>65</v>
      </c>
      <c r="F8" s="21">
        <v>45721</v>
      </c>
      <c r="G8" s="11" t="str">
        <f xml:space="preserve"> TEXT(Table2[[#This Row],[Due Date]],"MMM")</f>
        <v>Mar</v>
      </c>
      <c r="H8" s="17" t="s">
        <v>81</v>
      </c>
    </row>
    <row r="9" spans="1:8" x14ac:dyDescent="0.3">
      <c r="A9" s="10" t="s">
        <v>66</v>
      </c>
      <c r="B9" s="11" t="s">
        <v>7</v>
      </c>
      <c r="C9" s="11">
        <v>2025</v>
      </c>
      <c r="D9" s="11" t="s">
        <v>20</v>
      </c>
      <c r="E9" s="11" t="s">
        <v>67</v>
      </c>
      <c r="F9" s="21">
        <v>45757</v>
      </c>
      <c r="G9" s="11" t="str">
        <f xml:space="preserve"> TEXT(Table2[[#This Row],[Due Date]],"MMM")</f>
        <v>Apr</v>
      </c>
      <c r="H9" s="17" t="s">
        <v>81</v>
      </c>
    </row>
    <row r="10" spans="1:8" x14ac:dyDescent="0.3">
      <c r="A10" s="10" t="s">
        <v>68</v>
      </c>
      <c r="B10" s="11" t="s">
        <v>8</v>
      </c>
      <c r="C10" s="11">
        <v>2025</v>
      </c>
      <c r="D10" s="11" t="s">
        <v>20</v>
      </c>
      <c r="E10" s="11" t="s">
        <v>69</v>
      </c>
      <c r="F10" s="21">
        <v>45769</v>
      </c>
      <c r="G10" s="11" t="str">
        <f xml:space="preserve"> TEXT(Table2[[#This Row],[Due Date]],"MMM")</f>
        <v>Apr</v>
      </c>
      <c r="H10" s="17" t="s">
        <v>81</v>
      </c>
    </row>
    <row r="11" spans="1:8" x14ac:dyDescent="0.3">
      <c r="A11" s="10" t="s">
        <v>70</v>
      </c>
      <c r="B11" s="11" t="s">
        <v>9</v>
      </c>
      <c r="C11" s="11">
        <v>2025</v>
      </c>
      <c r="D11" s="11" t="s">
        <v>20</v>
      </c>
      <c r="E11" s="11" t="s">
        <v>71</v>
      </c>
      <c r="F11" s="21">
        <v>45836</v>
      </c>
      <c r="G11" s="11" t="str">
        <f xml:space="preserve"> TEXT(Table2[[#This Row],[Due Date]],"MMM")</f>
        <v>Jun</v>
      </c>
      <c r="H11" s="17" t="s">
        <v>81</v>
      </c>
    </row>
    <row r="12" spans="1:8" x14ac:dyDescent="0.3">
      <c r="A12" s="10" t="s">
        <v>72</v>
      </c>
      <c r="B12" s="11" t="s">
        <v>11</v>
      </c>
      <c r="C12" s="11">
        <v>2025</v>
      </c>
      <c r="D12" s="11" t="s">
        <v>20</v>
      </c>
      <c r="E12" s="11" t="s">
        <v>73</v>
      </c>
      <c r="F12" s="21">
        <v>45797</v>
      </c>
      <c r="G12" s="11" t="str">
        <f xml:space="preserve"> TEXT(Table2[[#This Row],[Due Date]],"MMM")</f>
        <v>May</v>
      </c>
      <c r="H12" s="17" t="s">
        <v>81</v>
      </c>
    </row>
    <row r="13" spans="1:8" x14ac:dyDescent="0.3">
      <c r="A13" s="10" t="s">
        <v>74</v>
      </c>
      <c r="B13" s="11" t="s">
        <v>10</v>
      </c>
      <c r="C13" s="11">
        <v>2025</v>
      </c>
      <c r="D13" s="11" t="s">
        <v>20</v>
      </c>
      <c r="E13" s="11" t="s">
        <v>75</v>
      </c>
      <c r="F13" s="21">
        <v>45818</v>
      </c>
      <c r="G13" s="11" t="str">
        <f xml:space="preserve"> TEXT(Table2[[#This Row],[Due Date]],"MMM")</f>
        <v>Jun</v>
      </c>
      <c r="H13" s="17" t="s">
        <v>81</v>
      </c>
    </row>
    <row r="14" spans="1:8" x14ac:dyDescent="0.3">
      <c r="A14" s="10" t="s">
        <v>76</v>
      </c>
      <c r="B14" s="11" t="s">
        <v>40</v>
      </c>
      <c r="C14" s="11">
        <v>2025</v>
      </c>
      <c r="D14" s="11" t="s">
        <v>20</v>
      </c>
      <c r="E14" s="11" t="s">
        <v>77</v>
      </c>
      <c r="F14" s="21">
        <v>45833</v>
      </c>
      <c r="G14" s="11" t="str">
        <f xml:space="preserve"> TEXT(Table2[[#This Row],[Due Date]],"MMM")</f>
        <v>Jun</v>
      </c>
      <c r="H14" s="17" t="s">
        <v>81</v>
      </c>
    </row>
    <row r="15" spans="1:8" x14ac:dyDescent="0.3">
      <c r="A15" s="10" t="s">
        <v>78</v>
      </c>
      <c r="B15" s="11" t="s">
        <v>41</v>
      </c>
      <c r="C15" s="11">
        <v>2025</v>
      </c>
      <c r="D15" s="11" t="s">
        <v>20</v>
      </c>
      <c r="E15" s="11" t="s">
        <v>79</v>
      </c>
      <c r="F15" s="21">
        <v>45879</v>
      </c>
      <c r="G15" s="11" t="str">
        <f xml:space="preserve"> TEXT(Table2[[#This Row],[Due Date]],"MMM")</f>
        <v>Aug</v>
      </c>
      <c r="H15" s="17" t="s">
        <v>82</v>
      </c>
    </row>
    <row r="16" spans="1:8" x14ac:dyDescent="0.3">
      <c r="A16" s="10" t="s">
        <v>18</v>
      </c>
      <c r="B16" s="11" t="s">
        <v>19</v>
      </c>
      <c r="C16" s="11">
        <v>2025</v>
      </c>
      <c r="D16" s="11" t="s">
        <v>20</v>
      </c>
      <c r="E16" s="11" t="s">
        <v>83</v>
      </c>
      <c r="F16" s="21">
        <v>45884</v>
      </c>
      <c r="G16" s="11" t="str">
        <f xml:space="preserve"> TEXT(Table2[[#This Row],[Due Date]],"MMM")</f>
        <v>Aug</v>
      </c>
      <c r="H16" s="17" t="s">
        <v>82</v>
      </c>
    </row>
    <row r="17" spans="1:8" x14ac:dyDescent="0.3">
      <c r="A17" s="10" t="s">
        <v>22</v>
      </c>
      <c r="B17" s="11" t="s">
        <v>23</v>
      </c>
      <c r="C17" s="11">
        <v>2025</v>
      </c>
      <c r="D17" s="11" t="s">
        <v>20</v>
      </c>
      <c r="E17" s="11" t="s">
        <v>84</v>
      </c>
      <c r="F17" s="21">
        <v>45889</v>
      </c>
      <c r="G17" s="11" t="str">
        <f xml:space="preserve"> TEXT(Table2[[#This Row],[Due Date]],"MMM")</f>
        <v>Aug</v>
      </c>
      <c r="H17" s="17" t="s">
        <v>82</v>
      </c>
    </row>
    <row r="18" spans="1:8" x14ac:dyDescent="0.3">
      <c r="A18" s="10" t="s">
        <v>57</v>
      </c>
      <c r="B18" s="11" t="s">
        <v>58</v>
      </c>
      <c r="C18" s="11">
        <v>2025</v>
      </c>
      <c r="D18" s="11" t="s">
        <v>20</v>
      </c>
      <c r="E18" s="11" t="s">
        <v>59</v>
      </c>
      <c r="F18" s="21">
        <v>45897</v>
      </c>
      <c r="G18" s="11" t="str">
        <f xml:space="preserve"> TEXT(Table2[[#This Row],[Due Date]],"MMM")</f>
        <v>Aug</v>
      </c>
      <c r="H18" s="17" t="s">
        <v>82</v>
      </c>
    </row>
    <row r="19" spans="1:8" x14ac:dyDescent="0.3">
      <c r="A19" s="10" t="s">
        <v>60</v>
      </c>
      <c r="B19" s="11" t="s">
        <v>3</v>
      </c>
      <c r="C19" s="11">
        <v>2025</v>
      </c>
      <c r="D19" s="11" t="s">
        <v>20</v>
      </c>
      <c r="E19" s="11" t="s">
        <v>75</v>
      </c>
      <c r="F19" s="21">
        <v>45910</v>
      </c>
      <c r="G19" s="11" t="str">
        <f xml:space="preserve"> TEXT(Table2[[#This Row],[Due Date]],"MMM")</f>
        <v>Sep</v>
      </c>
      <c r="H19" s="17" t="s">
        <v>82</v>
      </c>
    </row>
    <row r="20" spans="1:8" x14ac:dyDescent="0.3">
      <c r="A20" s="10" t="s">
        <v>62</v>
      </c>
      <c r="B20" s="11" t="s">
        <v>5</v>
      </c>
      <c r="C20" s="11">
        <v>2025</v>
      </c>
      <c r="D20" s="11" t="s">
        <v>20</v>
      </c>
      <c r="E20" s="11" t="s">
        <v>85</v>
      </c>
      <c r="F20" s="21">
        <v>45925</v>
      </c>
      <c r="G20" s="11" t="str">
        <f xml:space="preserve"> TEXT(Table2[[#This Row],[Due Date]],"MMM")</f>
        <v>Sep</v>
      </c>
      <c r="H20" s="17" t="s">
        <v>82</v>
      </c>
    </row>
    <row r="21" spans="1:8" x14ac:dyDescent="0.3">
      <c r="A21" s="10" t="s">
        <v>64</v>
      </c>
      <c r="B21" s="11" t="s">
        <v>6</v>
      </c>
      <c r="C21" s="11">
        <v>2025</v>
      </c>
      <c r="D21" s="11" t="s">
        <v>20</v>
      </c>
      <c r="E21" s="11" t="s">
        <v>86</v>
      </c>
      <c r="F21" s="21">
        <v>45971</v>
      </c>
      <c r="G21" s="11" t="str">
        <f xml:space="preserve"> TEXT(Table2[[#This Row],[Due Date]],"MMM")</f>
        <v>Nov</v>
      </c>
      <c r="H21" s="17" t="s">
        <v>82</v>
      </c>
    </row>
    <row r="22" spans="1:8" x14ac:dyDescent="0.3">
      <c r="A22" s="13" t="s">
        <v>66</v>
      </c>
      <c r="B22" s="14" t="s">
        <v>7</v>
      </c>
      <c r="C22" s="14">
        <v>2025</v>
      </c>
      <c r="D22" s="14" t="s">
        <v>20</v>
      </c>
      <c r="E22" s="14" t="s">
        <v>80</v>
      </c>
      <c r="F22" s="22">
        <v>46016</v>
      </c>
      <c r="G22" s="11" t="str">
        <f xml:space="preserve"> TEXT(Table2[[#This Row],[Due Date]],"MMM")</f>
        <v>Dec</v>
      </c>
      <c r="H22" s="18" t="s">
        <v>82</v>
      </c>
    </row>
    <row r="23" spans="1:8" x14ac:dyDescent="0.3">
      <c r="G23"/>
    </row>
    <row r="24" spans="1:8" x14ac:dyDescent="0.3">
      <c r="G24"/>
    </row>
    <row r="25" spans="1:8" x14ac:dyDescent="0.3">
      <c r="G25"/>
    </row>
    <row r="26" spans="1:8" x14ac:dyDescent="0.3">
      <c r="G26"/>
    </row>
    <row r="27" spans="1:8" x14ac:dyDescent="0.3">
      <c r="G27"/>
    </row>
    <row r="28" spans="1:8" x14ac:dyDescent="0.3">
      <c r="G28"/>
    </row>
    <row r="29" spans="1:8" x14ac:dyDescent="0.3">
      <c r="G29"/>
    </row>
    <row r="30" spans="1:8" x14ac:dyDescent="0.3">
      <c r="G30"/>
    </row>
    <row r="31" spans="1:8" x14ac:dyDescent="0.3">
      <c r="G31"/>
    </row>
    <row r="32" spans="1:8" x14ac:dyDescent="0.3">
      <c r="G32"/>
    </row>
    <row r="33" spans="7:7" x14ac:dyDescent="0.3">
      <c r="G33"/>
    </row>
    <row r="34" spans="7:7" x14ac:dyDescent="0.3">
      <c r="G34"/>
    </row>
    <row r="35" spans="7:7" x14ac:dyDescent="0.3">
      <c r="G35"/>
    </row>
    <row r="36" spans="7:7" x14ac:dyDescent="0.3">
      <c r="G36"/>
    </row>
    <row r="37" spans="7:7" x14ac:dyDescent="0.3">
      <c r="G37"/>
    </row>
    <row r="38" spans="7:7" x14ac:dyDescent="0.3">
      <c r="G38"/>
    </row>
    <row r="39" spans="7:7" x14ac:dyDescent="0.3">
      <c r="G39"/>
    </row>
    <row r="40" spans="7:7" x14ac:dyDescent="0.3">
      <c r="G40"/>
    </row>
    <row r="41" spans="7:7" x14ac:dyDescent="0.3">
      <c r="G41"/>
    </row>
    <row r="42" spans="7:7" x14ac:dyDescent="0.3">
      <c r="G42"/>
    </row>
    <row r="43" spans="7:7" x14ac:dyDescent="0.3">
      <c r="G43"/>
    </row>
    <row r="44" spans="7:7" x14ac:dyDescent="0.3">
      <c r="G44"/>
    </row>
    <row r="45" spans="7:7" x14ac:dyDescent="0.3">
      <c r="G45"/>
    </row>
    <row r="46" spans="7:7" x14ac:dyDescent="0.3">
      <c r="G46"/>
    </row>
    <row r="47" spans="7:7" x14ac:dyDescent="0.3">
      <c r="G47"/>
    </row>
    <row r="48" spans="7:7" x14ac:dyDescent="0.3">
      <c r="G48"/>
    </row>
    <row r="49" spans="7:7" x14ac:dyDescent="0.3">
      <c r="G49"/>
    </row>
    <row r="50" spans="7:7" x14ac:dyDescent="0.3">
      <c r="G50"/>
    </row>
    <row r="51" spans="7:7" x14ac:dyDescent="0.3">
      <c r="G51"/>
    </row>
    <row r="52" spans="7:7" x14ac:dyDescent="0.3">
      <c r="G52"/>
    </row>
    <row r="53" spans="7:7" x14ac:dyDescent="0.3">
      <c r="G53"/>
    </row>
    <row r="54" spans="7:7" x14ac:dyDescent="0.3">
      <c r="G54"/>
    </row>
    <row r="55" spans="7:7" x14ac:dyDescent="0.3">
      <c r="G55"/>
    </row>
    <row r="56" spans="7:7" x14ac:dyDescent="0.3">
      <c r="G56"/>
    </row>
    <row r="57" spans="7:7" x14ac:dyDescent="0.3">
      <c r="G57"/>
    </row>
    <row r="58" spans="7:7" x14ac:dyDescent="0.3">
      <c r="G58"/>
    </row>
    <row r="59" spans="7:7" x14ac:dyDescent="0.3">
      <c r="G59"/>
    </row>
    <row r="60" spans="7:7" x14ac:dyDescent="0.3">
      <c r="G60"/>
    </row>
    <row r="61" spans="7:7" x14ac:dyDescent="0.3">
      <c r="G61"/>
    </row>
    <row r="62" spans="7:7" x14ac:dyDescent="0.3">
      <c r="G62"/>
    </row>
    <row r="63" spans="7:7" x14ac:dyDescent="0.3">
      <c r="G63"/>
    </row>
    <row r="64" spans="7:7" x14ac:dyDescent="0.3">
      <c r="G64"/>
    </row>
    <row r="65" spans="7:7" x14ac:dyDescent="0.3">
      <c r="G65"/>
    </row>
    <row r="66" spans="7:7" x14ac:dyDescent="0.3">
      <c r="G66"/>
    </row>
    <row r="67" spans="7:7" x14ac:dyDescent="0.3">
      <c r="G67"/>
    </row>
    <row r="68" spans="7:7" x14ac:dyDescent="0.3">
      <c r="G68"/>
    </row>
    <row r="69" spans="7:7" x14ac:dyDescent="0.3">
      <c r="G69"/>
    </row>
    <row r="70" spans="7:7" x14ac:dyDescent="0.3">
      <c r="G70"/>
    </row>
    <row r="71" spans="7:7" x14ac:dyDescent="0.3">
      <c r="G71"/>
    </row>
    <row r="72" spans="7:7" x14ac:dyDescent="0.3">
      <c r="G72"/>
    </row>
    <row r="73" spans="7:7" x14ac:dyDescent="0.3">
      <c r="G73"/>
    </row>
    <row r="74" spans="7:7" x14ac:dyDescent="0.3">
      <c r="G74"/>
    </row>
    <row r="75" spans="7:7" x14ac:dyDescent="0.3">
      <c r="G75"/>
    </row>
    <row r="76" spans="7:7" x14ac:dyDescent="0.3">
      <c r="G76"/>
    </row>
    <row r="77" spans="7:7" x14ac:dyDescent="0.3">
      <c r="G77"/>
    </row>
    <row r="78" spans="7:7" x14ac:dyDescent="0.3">
      <c r="G78"/>
    </row>
    <row r="79" spans="7:7" x14ac:dyDescent="0.3">
      <c r="G79"/>
    </row>
    <row r="80" spans="7:7" x14ac:dyDescent="0.3">
      <c r="G80"/>
    </row>
    <row r="81" spans="7:7" x14ac:dyDescent="0.3">
      <c r="G81"/>
    </row>
    <row r="82" spans="7:7" x14ac:dyDescent="0.3">
      <c r="G82"/>
    </row>
    <row r="83" spans="7:7" x14ac:dyDescent="0.3">
      <c r="G83"/>
    </row>
    <row r="84" spans="7:7" x14ac:dyDescent="0.3">
      <c r="G84"/>
    </row>
    <row r="85" spans="7:7" x14ac:dyDescent="0.3">
      <c r="G85"/>
    </row>
    <row r="86" spans="7:7" x14ac:dyDescent="0.3">
      <c r="G86"/>
    </row>
    <row r="87" spans="7:7" x14ac:dyDescent="0.3">
      <c r="G87"/>
    </row>
    <row r="88" spans="7:7" x14ac:dyDescent="0.3">
      <c r="G88"/>
    </row>
    <row r="89" spans="7:7" x14ac:dyDescent="0.3">
      <c r="G89"/>
    </row>
    <row r="90" spans="7:7" x14ac:dyDescent="0.3">
      <c r="G90"/>
    </row>
    <row r="91" spans="7:7" x14ac:dyDescent="0.3">
      <c r="G91"/>
    </row>
    <row r="92" spans="7:7" x14ac:dyDescent="0.3">
      <c r="G92"/>
    </row>
    <row r="93" spans="7:7" x14ac:dyDescent="0.3">
      <c r="G93"/>
    </row>
    <row r="94" spans="7:7" x14ac:dyDescent="0.3">
      <c r="G94"/>
    </row>
    <row r="95" spans="7:7" x14ac:dyDescent="0.3">
      <c r="G95"/>
    </row>
    <row r="96" spans="7:7" x14ac:dyDescent="0.3">
      <c r="G96"/>
    </row>
    <row r="97" spans="7:7" x14ac:dyDescent="0.3">
      <c r="G97"/>
    </row>
    <row r="98" spans="7:7" x14ac:dyDescent="0.3">
      <c r="G98"/>
    </row>
    <row r="99" spans="7:7" x14ac:dyDescent="0.3">
      <c r="G99"/>
    </row>
    <row r="100" spans="7:7" x14ac:dyDescent="0.3">
      <c r="G100"/>
    </row>
    <row r="101" spans="7:7" x14ac:dyDescent="0.3">
      <c r="G101"/>
    </row>
    <row r="102" spans="7:7" x14ac:dyDescent="0.3">
      <c r="G102"/>
    </row>
    <row r="103" spans="7:7" x14ac:dyDescent="0.3">
      <c r="G103"/>
    </row>
    <row r="104" spans="7:7" x14ac:dyDescent="0.3">
      <c r="G104"/>
    </row>
    <row r="105" spans="7:7" x14ac:dyDescent="0.3">
      <c r="G105"/>
    </row>
    <row r="106" spans="7:7" x14ac:dyDescent="0.3">
      <c r="G106"/>
    </row>
    <row r="107" spans="7:7" x14ac:dyDescent="0.3">
      <c r="G107"/>
    </row>
    <row r="108" spans="7:7" x14ac:dyDescent="0.3">
      <c r="G108"/>
    </row>
    <row r="109" spans="7:7" x14ac:dyDescent="0.3">
      <c r="G109"/>
    </row>
    <row r="110" spans="7:7" x14ac:dyDescent="0.3">
      <c r="G110"/>
    </row>
    <row r="111" spans="7:7" x14ac:dyDescent="0.3">
      <c r="G111"/>
    </row>
    <row r="112" spans="7:7" x14ac:dyDescent="0.3">
      <c r="G112"/>
    </row>
    <row r="113" spans="7:7" x14ac:dyDescent="0.3">
      <c r="G113"/>
    </row>
    <row r="114" spans="7:7" x14ac:dyDescent="0.3">
      <c r="G114"/>
    </row>
    <row r="115" spans="7:7" x14ac:dyDescent="0.3">
      <c r="G115"/>
    </row>
    <row r="116" spans="7:7" x14ac:dyDescent="0.3">
      <c r="G116"/>
    </row>
    <row r="117" spans="7:7" x14ac:dyDescent="0.3">
      <c r="G117"/>
    </row>
    <row r="118" spans="7:7" x14ac:dyDescent="0.3">
      <c r="G118"/>
    </row>
    <row r="119" spans="7:7" x14ac:dyDescent="0.3">
      <c r="G119"/>
    </row>
    <row r="120" spans="7:7" x14ac:dyDescent="0.3">
      <c r="G120"/>
    </row>
    <row r="121" spans="7:7" x14ac:dyDescent="0.3">
      <c r="G121"/>
    </row>
    <row r="122" spans="7:7" x14ac:dyDescent="0.3">
      <c r="G122"/>
    </row>
    <row r="123" spans="7:7" x14ac:dyDescent="0.3">
      <c r="G123"/>
    </row>
    <row r="124" spans="7:7" x14ac:dyDescent="0.3">
      <c r="G124"/>
    </row>
    <row r="125" spans="7:7" x14ac:dyDescent="0.3">
      <c r="G125"/>
    </row>
    <row r="126" spans="7:7" x14ac:dyDescent="0.3">
      <c r="G126"/>
    </row>
    <row r="127" spans="7:7" x14ac:dyDescent="0.3">
      <c r="G127"/>
    </row>
    <row r="128" spans="7:7" x14ac:dyDescent="0.3">
      <c r="G128"/>
    </row>
    <row r="129" spans="7:7" x14ac:dyDescent="0.3">
      <c r="G129"/>
    </row>
    <row r="130" spans="7:7" x14ac:dyDescent="0.3">
      <c r="G130"/>
    </row>
    <row r="131" spans="7:7" x14ac:dyDescent="0.3">
      <c r="G131"/>
    </row>
    <row r="132" spans="7:7" x14ac:dyDescent="0.3">
      <c r="G132"/>
    </row>
    <row r="133" spans="7:7" x14ac:dyDescent="0.3">
      <c r="G133"/>
    </row>
    <row r="134" spans="7:7" x14ac:dyDescent="0.3">
      <c r="G134"/>
    </row>
    <row r="135" spans="7:7" x14ac:dyDescent="0.3">
      <c r="G135"/>
    </row>
    <row r="136" spans="7:7" x14ac:dyDescent="0.3">
      <c r="G136"/>
    </row>
    <row r="137" spans="7:7" x14ac:dyDescent="0.3">
      <c r="G137"/>
    </row>
    <row r="138" spans="7:7" x14ac:dyDescent="0.3">
      <c r="G138"/>
    </row>
    <row r="139" spans="7:7" x14ac:dyDescent="0.3">
      <c r="G139"/>
    </row>
    <row r="140" spans="7:7" x14ac:dyDescent="0.3">
      <c r="G140"/>
    </row>
    <row r="141" spans="7:7" x14ac:dyDescent="0.3">
      <c r="G141"/>
    </row>
    <row r="142" spans="7:7" x14ac:dyDescent="0.3">
      <c r="G142"/>
    </row>
    <row r="143" spans="7:7" x14ac:dyDescent="0.3">
      <c r="G143"/>
    </row>
    <row r="144" spans="7:7" x14ac:dyDescent="0.3">
      <c r="G144"/>
    </row>
    <row r="145" spans="7:7" x14ac:dyDescent="0.3">
      <c r="G145"/>
    </row>
    <row r="146" spans="7:7" x14ac:dyDescent="0.3">
      <c r="G146"/>
    </row>
    <row r="147" spans="7:7" x14ac:dyDescent="0.3">
      <c r="G147"/>
    </row>
    <row r="148" spans="7:7" x14ac:dyDescent="0.3">
      <c r="G148"/>
    </row>
    <row r="149" spans="7:7" x14ac:dyDescent="0.3">
      <c r="G149"/>
    </row>
    <row r="150" spans="7:7" x14ac:dyDescent="0.3">
      <c r="G150"/>
    </row>
    <row r="151" spans="7:7" x14ac:dyDescent="0.3">
      <c r="G151"/>
    </row>
    <row r="152" spans="7:7" x14ac:dyDescent="0.3">
      <c r="G152"/>
    </row>
    <row r="153" spans="7:7" x14ac:dyDescent="0.3">
      <c r="G153"/>
    </row>
    <row r="154" spans="7:7" x14ac:dyDescent="0.3">
      <c r="G154"/>
    </row>
    <row r="155" spans="7:7" x14ac:dyDescent="0.3">
      <c r="G155"/>
    </row>
    <row r="156" spans="7:7" x14ac:dyDescent="0.3">
      <c r="G156"/>
    </row>
    <row r="157" spans="7:7" x14ac:dyDescent="0.3">
      <c r="G157"/>
    </row>
    <row r="158" spans="7:7" x14ac:dyDescent="0.3">
      <c r="G158"/>
    </row>
    <row r="159" spans="7:7" x14ac:dyDescent="0.3">
      <c r="G159"/>
    </row>
    <row r="160" spans="7:7" x14ac:dyDescent="0.3">
      <c r="G160"/>
    </row>
    <row r="161" spans="7:7" x14ac:dyDescent="0.3">
      <c r="G161"/>
    </row>
    <row r="162" spans="7:7" x14ac:dyDescent="0.3">
      <c r="G162"/>
    </row>
    <row r="163" spans="7:7" x14ac:dyDescent="0.3">
      <c r="G163"/>
    </row>
    <row r="164" spans="7:7" x14ac:dyDescent="0.3">
      <c r="G164"/>
    </row>
    <row r="165" spans="7:7" x14ac:dyDescent="0.3">
      <c r="G165"/>
    </row>
    <row r="166" spans="7:7" x14ac:dyDescent="0.3">
      <c r="G166"/>
    </row>
    <row r="167" spans="7:7" x14ac:dyDescent="0.3">
      <c r="G167"/>
    </row>
    <row r="168" spans="7:7" x14ac:dyDescent="0.3">
      <c r="G168"/>
    </row>
    <row r="169" spans="7:7" x14ac:dyDescent="0.3">
      <c r="G169"/>
    </row>
    <row r="170" spans="7:7" x14ac:dyDescent="0.3">
      <c r="G170"/>
    </row>
    <row r="171" spans="7:7" x14ac:dyDescent="0.3">
      <c r="G171"/>
    </row>
    <row r="172" spans="7:7" x14ac:dyDescent="0.3">
      <c r="G172"/>
    </row>
    <row r="173" spans="7:7" x14ac:dyDescent="0.3">
      <c r="G173"/>
    </row>
    <row r="174" spans="7:7" x14ac:dyDescent="0.3">
      <c r="G174"/>
    </row>
    <row r="175" spans="7:7" x14ac:dyDescent="0.3">
      <c r="G175"/>
    </row>
    <row r="176" spans="7:7" x14ac:dyDescent="0.3">
      <c r="G176"/>
    </row>
    <row r="177" spans="7:7" x14ac:dyDescent="0.3">
      <c r="G177"/>
    </row>
    <row r="178" spans="7:7" x14ac:dyDescent="0.3">
      <c r="G178"/>
    </row>
    <row r="179" spans="7:7" x14ac:dyDescent="0.3">
      <c r="G179"/>
    </row>
    <row r="180" spans="7:7" x14ac:dyDescent="0.3">
      <c r="G180"/>
    </row>
    <row r="181" spans="7:7" x14ac:dyDescent="0.3">
      <c r="G181"/>
    </row>
    <row r="182" spans="7:7" x14ac:dyDescent="0.3">
      <c r="G182"/>
    </row>
    <row r="183" spans="7:7" x14ac:dyDescent="0.3">
      <c r="G183"/>
    </row>
    <row r="184" spans="7:7" x14ac:dyDescent="0.3">
      <c r="G184"/>
    </row>
    <row r="185" spans="7:7" x14ac:dyDescent="0.3">
      <c r="G185"/>
    </row>
    <row r="186" spans="7:7" x14ac:dyDescent="0.3">
      <c r="G186"/>
    </row>
    <row r="187" spans="7:7" x14ac:dyDescent="0.3">
      <c r="G187"/>
    </row>
    <row r="188" spans="7:7" x14ac:dyDescent="0.3">
      <c r="G188"/>
    </row>
    <row r="189" spans="7:7" x14ac:dyDescent="0.3">
      <c r="G189"/>
    </row>
    <row r="190" spans="7:7" x14ac:dyDescent="0.3">
      <c r="G190"/>
    </row>
    <row r="191" spans="7:7" x14ac:dyDescent="0.3">
      <c r="G191"/>
    </row>
    <row r="192" spans="7:7" x14ac:dyDescent="0.3">
      <c r="G192"/>
    </row>
    <row r="193" spans="7:7" x14ac:dyDescent="0.3">
      <c r="G193"/>
    </row>
    <row r="194" spans="7:7" x14ac:dyDescent="0.3">
      <c r="G194"/>
    </row>
    <row r="195" spans="7:7" x14ac:dyDescent="0.3">
      <c r="G195"/>
    </row>
    <row r="196" spans="7:7" x14ac:dyDescent="0.3">
      <c r="G196"/>
    </row>
    <row r="197" spans="7:7" x14ac:dyDescent="0.3">
      <c r="G197"/>
    </row>
    <row r="198" spans="7:7" x14ac:dyDescent="0.3">
      <c r="G198"/>
    </row>
    <row r="199" spans="7:7" x14ac:dyDescent="0.3">
      <c r="G199"/>
    </row>
    <row r="200" spans="7:7" x14ac:dyDescent="0.3">
      <c r="G200"/>
    </row>
    <row r="201" spans="7:7" x14ac:dyDescent="0.3">
      <c r="G201"/>
    </row>
    <row r="202" spans="7:7" x14ac:dyDescent="0.3">
      <c r="G202"/>
    </row>
    <row r="203" spans="7:7" x14ac:dyDescent="0.3">
      <c r="G203"/>
    </row>
    <row r="204" spans="7:7" x14ac:dyDescent="0.3">
      <c r="G204"/>
    </row>
    <row r="205" spans="7:7" x14ac:dyDescent="0.3">
      <c r="G205"/>
    </row>
    <row r="206" spans="7:7" x14ac:dyDescent="0.3">
      <c r="G206"/>
    </row>
    <row r="207" spans="7:7" x14ac:dyDescent="0.3">
      <c r="G207"/>
    </row>
    <row r="208" spans="7:7" x14ac:dyDescent="0.3">
      <c r="G208"/>
    </row>
    <row r="209" spans="7:7" x14ac:dyDescent="0.3">
      <c r="G209"/>
    </row>
    <row r="210" spans="7:7" x14ac:dyDescent="0.3">
      <c r="G210"/>
    </row>
    <row r="211" spans="7:7" x14ac:dyDescent="0.3">
      <c r="G211"/>
    </row>
    <row r="212" spans="7:7" x14ac:dyDescent="0.3">
      <c r="G212"/>
    </row>
    <row r="213" spans="7:7" x14ac:dyDescent="0.3">
      <c r="G213"/>
    </row>
    <row r="214" spans="7:7" x14ac:dyDescent="0.3">
      <c r="G214"/>
    </row>
    <row r="215" spans="7:7" x14ac:dyDescent="0.3">
      <c r="G215"/>
    </row>
    <row r="216" spans="7:7" x14ac:dyDescent="0.3">
      <c r="G216"/>
    </row>
    <row r="217" spans="7:7" x14ac:dyDescent="0.3">
      <c r="G217"/>
    </row>
    <row r="218" spans="7:7" x14ac:dyDescent="0.3">
      <c r="G218"/>
    </row>
    <row r="219" spans="7:7" x14ac:dyDescent="0.3">
      <c r="G219"/>
    </row>
    <row r="220" spans="7:7" x14ac:dyDescent="0.3">
      <c r="G220"/>
    </row>
    <row r="221" spans="7:7" x14ac:dyDescent="0.3">
      <c r="G221"/>
    </row>
    <row r="222" spans="7:7" x14ac:dyDescent="0.3">
      <c r="G222"/>
    </row>
    <row r="223" spans="7:7" x14ac:dyDescent="0.3">
      <c r="G223"/>
    </row>
    <row r="224" spans="7:7" x14ac:dyDescent="0.3">
      <c r="G224"/>
    </row>
    <row r="225" spans="7:7" x14ac:dyDescent="0.3">
      <c r="G225"/>
    </row>
    <row r="226" spans="7:7" x14ac:dyDescent="0.3">
      <c r="G226"/>
    </row>
    <row r="227" spans="7:7" x14ac:dyDescent="0.3">
      <c r="G227"/>
    </row>
    <row r="228" spans="7:7" x14ac:dyDescent="0.3">
      <c r="G228"/>
    </row>
    <row r="229" spans="7:7" x14ac:dyDescent="0.3">
      <c r="G229"/>
    </row>
    <row r="230" spans="7:7" x14ac:dyDescent="0.3">
      <c r="G230"/>
    </row>
    <row r="231" spans="7:7" x14ac:dyDescent="0.3">
      <c r="G231"/>
    </row>
    <row r="232" spans="7:7" x14ac:dyDescent="0.3">
      <c r="G232"/>
    </row>
    <row r="233" spans="7:7" x14ac:dyDescent="0.3">
      <c r="G233"/>
    </row>
    <row r="234" spans="7:7" x14ac:dyDescent="0.3">
      <c r="G234"/>
    </row>
    <row r="235" spans="7:7" x14ac:dyDescent="0.3">
      <c r="G235"/>
    </row>
    <row r="236" spans="7:7" x14ac:dyDescent="0.3">
      <c r="G236"/>
    </row>
    <row r="237" spans="7:7" x14ac:dyDescent="0.3">
      <c r="G237"/>
    </row>
    <row r="238" spans="7:7" x14ac:dyDescent="0.3">
      <c r="G238"/>
    </row>
    <row r="239" spans="7:7" x14ac:dyDescent="0.3">
      <c r="G239"/>
    </row>
    <row r="240" spans="7:7" x14ac:dyDescent="0.3">
      <c r="G240"/>
    </row>
    <row r="241" spans="7:7" x14ac:dyDescent="0.3">
      <c r="G241"/>
    </row>
    <row r="242" spans="7:7" x14ac:dyDescent="0.3">
      <c r="G242"/>
    </row>
    <row r="243" spans="7:7" x14ac:dyDescent="0.3">
      <c r="G243"/>
    </row>
    <row r="244" spans="7:7" x14ac:dyDescent="0.3">
      <c r="G244"/>
    </row>
    <row r="245" spans="7:7" x14ac:dyDescent="0.3">
      <c r="G245"/>
    </row>
    <row r="246" spans="7:7" x14ac:dyDescent="0.3">
      <c r="G246"/>
    </row>
    <row r="247" spans="7:7" x14ac:dyDescent="0.3">
      <c r="G247"/>
    </row>
    <row r="248" spans="7:7" x14ac:dyDescent="0.3">
      <c r="G248"/>
    </row>
    <row r="249" spans="7:7" x14ac:dyDescent="0.3">
      <c r="G249"/>
    </row>
    <row r="250" spans="7:7" x14ac:dyDescent="0.3">
      <c r="G250"/>
    </row>
    <row r="251" spans="7:7" x14ac:dyDescent="0.3">
      <c r="G251"/>
    </row>
    <row r="252" spans="7:7" x14ac:dyDescent="0.3">
      <c r="G252"/>
    </row>
    <row r="253" spans="7:7" x14ac:dyDescent="0.3">
      <c r="G253"/>
    </row>
    <row r="254" spans="7:7" x14ac:dyDescent="0.3">
      <c r="G254"/>
    </row>
    <row r="255" spans="7:7" x14ac:dyDescent="0.3">
      <c r="G255"/>
    </row>
    <row r="256" spans="7:7" x14ac:dyDescent="0.3">
      <c r="G256"/>
    </row>
    <row r="257" spans="7:7" x14ac:dyDescent="0.3">
      <c r="G257"/>
    </row>
    <row r="258" spans="7:7" x14ac:dyDescent="0.3">
      <c r="G258"/>
    </row>
    <row r="259" spans="7:7" x14ac:dyDescent="0.3">
      <c r="G259"/>
    </row>
    <row r="260" spans="7:7" x14ac:dyDescent="0.3">
      <c r="G260"/>
    </row>
    <row r="261" spans="7:7" x14ac:dyDescent="0.3">
      <c r="G261"/>
    </row>
    <row r="262" spans="7:7" x14ac:dyDescent="0.3">
      <c r="G262"/>
    </row>
    <row r="263" spans="7:7" x14ac:dyDescent="0.3">
      <c r="G263"/>
    </row>
    <row r="264" spans="7:7" x14ac:dyDescent="0.3">
      <c r="G264"/>
    </row>
    <row r="265" spans="7:7" x14ac:dyDescent="0.3">
      <c r="G265"/>
    </row>
    <row r="266" spans="7:7" x14ac:dyDescent="0.3">
      <c r="G266"/>
    </row>
    <row r="267" spans="7:7" x14ac:dyDescent="0.3">
      <c r="G267"/>
    </row>
    <row r="268" spans="7:7" x14ac:dyDescent="0.3">
      <c r="G268"/>
    </row>
    <row r="269" spans="7:7" x14ac:dyDescent="0.3">
      <c r="G269"/>
    </row>
    <row r="270" spans="7:7" x14ac:dyDescent="0.3">
      <c r="G270"/>
    </row>
    <row r="271" spans="7:7" x14ac:dyDescent="0.3">
      <c r="G271"/>
    </row>
    <row r="272" spans="7:7" x14ac:dyDescent="0.3">
      <c r="G272"/>
    </row>
    <row r="273" spans="7:7" x14ac:dyDescent="0.3">
      <c r="G273"/>
    </row>
    <row r="274" spans="7:7" x14ac:dyDescent="0.3">
      <c r="G274"/>
    </row>
    <row r="275" spans="7:7" x14ac:dyDescent="0.3">
      <c r="G275"/>
    </row>
    <row r="276" spans="7:7" x14ac:dyDescent="0.3">
      <c r="G276"/>
    </row>
    <row r="277" spans="7:7" x14ac:dyDescent="0.3">
      <c r="G277"/>
    </row>
    <row r="278" spans="7:7" x14ac:dyDescent="0.3">
      <c r="G278"/>
    </row>
    <row r="279" spans="7:7" x14ac:dyDescent="0.3">
      <c r="G279"/>
    </row>
    <row r="280" spans="7:7" x14ac:dyDescent="0.3">
      <c r="G280"/>
    </row>
    <row r="281" spans="7:7" x14ac:dyDescent="0.3">
      <c r="G281"/>
    </row>
    <row r="282" spans="7:7" x14ac:dyDescent="0.3">
      <c r="G282"/>
    </row>
    <row r="283" spans="7:7" x14ac:dyDescent="0.3">
      <c r="G283"/>
    </row>
    <row r="284" spans="7:7" x14ac:dyDescent="0.3">
      <c r="G284"/>
    </row>
    <row r="285" spans="7:7" x14ac:dyDescent="0.3">
      <c r="G285"/>
    </row>
    <row r="286" spans="7:7" x14ac:dyDescent="0.3">
      <c r="G286"/>
    </row>
    <row r="287" spans="7:7" x14ac:dyDescent="0.3">
      <c r="G287"/>
    </row>
    <row r="288" spans="7:7" x14ac:dyDescent="0.3">
      <c r="G288"/>
    </row>
    <row r="289" spans="7:7" x14ac:dyDescent="0.3">
      <c r="G289"/>
    </row>
    <row r="290" spans="7:7" x14ac:dyDescent="0.3">
      <c r="G290"/>
    </row>
    <row r="291" spans="7:7" x14ac:dyDescent="0.3">
      <c r="G291"/>
    </row>
    <row r="292" spans="7:7" x14ac:dyDescent="0.3">
      <c r="G292"/>
    </row>
    <row r="293" spans="7:7" x14ac:dyDescent="0.3">
      <c r="G293"/>
    </row>
    <row r="294" spans="7:7" x14ac:dyDescent="0.3">
      <c r="G294"/>
    </row>
    <row r="295" spans="7:7" x14ac:dyDescent="0.3">
      <c r="G295"/>
    </row>
    <row r="296" spans="7:7" x14ac:dyDescent="0.3">
      <c r="G296"/>
    </row>
    <row r="297" spans="7:7" x14ac:dyDescent="0.3">
      <c r="G297"/>
    </row>
    <row r="298" spans="7:7" x14ac:dyDescent="0.3">
      <c r="G298"/>
    </row>
    <row r="299" spans="7:7" x14ac:dyDescent="0.3">
      <c r="G299"/>
    </row>
    <row r="300" spans="7:7" x14ac:dyDescent="0.3">
      <c r="G300"/>
    </row>
    <row r="301" spans="7:7" x14ac:dyDescent="0.3">
      <c r="G301"/>
    </row>
    <row r="302" spans="7:7" x14ac:dyDescent="0.3">
      <c r="G302"/>
    </row>
    <row r="303" spans="7:7" x14ac:dyDescent="0.3">
      <c r="G303"/>
    </row>
    <row r="304" spans="7:7" x14ac:dyDescent="0.3">
      <c r="G304"/>
    </row>
    <row r="305" spans="7:7" x14ac:dyDescent="0.3">
      <c r="G305"/>
    </row>
    <row r="306" spans="7:7" x14ac:dyDescent="0.3">
      <c r="G306"/>
    </row>
    <row r="307" spans="7:7" x14ac:dyDescent="0.3">
      <c r="G307"/>
    </row>
    <row r="308" spans="7:7" x14ac:dyDescent="0.3">
      <c r="G308"/>
    </row>
    <row r="309" spans="7:7" x14ac:dyDescent="0.3">
      <c r="G309"/>
    </row>
    <row r="310" spans="7:7" x14ac:dyDescent="0.3">
      <c r="G310"/>
    </row>
    <row r="311" spans="7:7" x14ac:dyDescent="0.3">
      <c r="G311"/>
    </row>
    <row r="312" spans="7:7" x14ac:dyDescent="0.3">
      <c r="G312"/>
    </row>
    <row r="313" spans="7:7" x14ac:dyDescent="0.3">
      <c r="G313"/>
    </row>
    <row r="314" spans="7:7" x14ac:dyDescent="0.3">
      <c r="G314"/>
    </row>
    <row r="315" spans="7:7" x14ac:dyDescent="0.3">
      <c r="G315"/>
    </row>
    <row r="316" spans="7:7" x14ac:dyDescent="0.3">
      <c r="G316"/>
    </row>
    <row r="317" spans="7:7" x14ac:dyDescent="0.3">
      <c r="G317"/>
    </row>
    <row r="318" spans="7:7" x14ac:dyDescent="0.3">
      <c r="G318"/>
    </row>
    <row r="319" spans="7:7" x14ac:dyDescent="0.3">
      <c r="G319"/>
    </row>
    <row r="320" spans="7:7" x14ac:dyDescent="0.3">
      <c r="G320"/>
    </row>
    <row r="321" spans="7:7" x14ac:dyDescent="0.3">
      <c r="G321"/>
    </row>
    <row r="322" spans="7:7" x14ac:dyDescent="0.3">
      <c r="G322"/>
    </row>
    <row r="323" spans="7:7" x14ac:dyDescent="0.3">
      <c r="G323"/>
    </row>
    <row r="324" spans="7:7" x14ac:dyDescent="0.3">
      <c r="G324"/>
    </row>
    <row r="325" spans="7:7" x14ac:dyDescent="0.3">
      <c r="G325"/>
    </row>
    <row r="326" spans="7:7" x14ac:dyDescent="0.3">
      <c r="G326"/>
    </row>
    <row r="327" spans="7:7" x14ac:dyDescent="0.3">
      <c r="G327"/>
    </row>
    <row r="328" spans="7:7" x14ac:dyDescent="0.3">
      <c r="G328"/>
    </row>
    <row r="329" spans="7:7" x14ac:dyDescent="0.3">
      <c r="G329"/>
    </row>
    <row r="330" spans="7:7" x14ac:dyDescent="0.3">
      <c r="G330"/>
    </row>
    <row r="331" spans="7:7" x14ac:dyDescent="0.3">
      <c r="G331"/>
    </row>
    <row r="332" spans="7:7" x14ac:dyDescent="0.3">
      <c r="G332"/>
    </row>
    <row r="333" spans="7:7" x14ac:dyDescent="0.3">
      <c r="G333"/>
    </row>
    <row r="334" spans="7:7" x14ac:dyDescent="0.3">
      <c r="G334"/>
    </row>
    <row r="335" spans="7:7" x14ac:dyDescent="0.3">
      <c r="G335"/>
    </row>
    <row r="336" spans="7:7" x14ac:dyDescent="0.3">
      <c r="G336"/>
    </row>
    <row r="337" spans="7:7" x14ac:dyDescent="0.3">
      <c r="G337"/>
    </row>
    <row r="338" spans="7:7" x14ac:dyDescent="0.3">
      <c r="G338"/>
    </row>
    <row r="339" spans="7:7" x14ac:dyDescent="0.3">
      <c r="G339"/>
    </row>
    <row r="340" spans="7:7" x14ac:dyDescent="0.3">
      <c r="G340"/>
    </row>
    <row r="341" spans="7:7" x14ac:dyDescent="0.3">
      <c r="G341"/>
    </row>
    <row r="342" spans="7:7" x14ac:dyDescent="0.3">
      <c r="G342"/>
    </row>
    <row r="343" spans="7:7" x14ac:dyDescent="0.3">
      <c r="G343"/>
    </row>
    <row r="344" spans="7:7" x14ac:dyDescent="0.3">
      <c r="G344"/>
    </row>
    <row r="345" spans="7:7" x14ac:dyDescent="0.3">
      <c r="G345"/>
    </row>
    <row r="346" spans="7:7" x14ac:dyDescent="0.3">
      <c r="G346"/>
    </row>
    <row r="347" spans="7:7" x14ac:dyDescent="0.3">
      <c r="G347"/>
    </row>
    <row r="348" spans="7:7" x14ac:dyDescent="0.3">
      <c r="G348"/>
    </row>
    <row r="349" spans="7:7" x14ac:dyDescent="0.3">
      <c r="G349"/>
    </row>
    <row r="350" spans="7:7" x14ac:dyDescent="0.3">
      <c r="G350"/>
    </row>
    <row r="351" spans="7:7" x14ac:dyDescent="0.3">
      <c r="G351"/>
    </row>
    <row r="352" spans="7:7" x14ac:dyDescent="0.3">
      <c r="G352"/>
    </row>
    <row r="353" spans="7:7" x14ac:dyDescent="0.3">
      <c r="G353"/>
    </row>
    <row r="354" spans="7:7" x14ac:dyDescent="0.3">
      <c r="G354"/>
    </row>
    <row r="355" spans="7:7" x14ac:dyDescent="0.3">
      <c r="G355"/>
    </row>
    <row r="356" spans="7:7" x14ac:dyDescent="0.3">
      <c r="G356"/>
    </row>
    <row r="357" spans="7:7" x14ac:dyDescent="0.3">
      <c r="G357"/>
    </row>
    <row r="358" spans="7:7" x14ac:dyDescent="0.3">
      <c r="G358"/>
    </row>
    <row r="359" spans="7:7" x14ac:dyDescent="0.3">
      <c r="G359"/>
    </row>
    <row r="360" spans="7:7" x14ac:dyDescent="0.3">
      <c r="G360"/>
    </row>
    <row r="361" spans="7:7" x14ac:dyDescent="0.3">
      <c r="G361"/>
    </row>
    <row r="362" spans="7:7" x14ac:dyDescent="0.3">
      <c r="G362"/>
    </row>
    <row r="363" spans="7:7" x14ac:dyDescent="0.3">
      <c r="G363"/>
    </row>
    <row r="364" spans="7:7" x14ac:dyDescent="0.3">
      <c r="G364"/>
    </row>
    <row r="365" spans="7:7" x14ac:dyDescent="0.3">
      <c r="G365"/>
    </row>
    <row r="366" spans="7:7" x14ac:dyDescent="0.3">
      <c r="G366"/>
    </row>
    <row r="367" spans="7:7" x14ac:dyDescent="0.3">
      <c r="G367"/>
    </row>
    <row r="368" spans="7:7" x14ac:dyDescent="0.3">
      <c r="G368"/>
    </row>
    <row r="369" spans="7:7" x14ac:dyDescent="0.3">
      <c r="G369"/>
    </row>
    <row r="370" spans="7:7" x14ac:dyDescent="0.3">
      <c r="G370"/>
    </row>
    <row r="371" spans="7:7" x14ac:dyDescent="0.3">
      <c r="G371"/>
    </row>
    <row r="372" spans="7:7" x14ac:dyDescent="0.3">
      <c r="G372"/>
    </row>
    <row r="373" spans="7:7" x14ac:dyDescent="0.3">
      <c r="G373"/>
    </row>
    <row r="374" spans="7:7" x14ac:dyDescent="0.3">
      <c r="G374"/>
    </row>
    <row r="375" spans="7:7" x14ac:dyDescent="0.3">
      <c r="G375"/>
    </row>
    <row r="376" spans="7:7" x14ac:dyDescent="0.3">
      <c r="G376"/>
    </row>
    <row r="377" spans="7:7" x14ac:dyDescent="0.3">
      <c r="G377"/>
    </row>
    <row r="378" spans="7:7" x14ac:dyDescent="0.3">
      <c r="G378"/>
    </row>
    <row r="379" spans="7:7" x14ac:dyDescent="0.3">
      <c r="G379"/>
    </row>
    <row r="380" spans="7:7" x14ac:dyDescent="0.3">
      <c r="G380"/>
    </row>
    <row r="381" spans="7:7" x14ac:dyDescent="0.3">
      <c r="G381"/>
    </row>
    <row r="382" spans="7:7" x14ac:dyDescent="0.3">
      <c r="G382"/>
    </row>
    <row r="383" spans="7:7" x14ac:dyDescent="0.3">
      <c r="G383"/>
    </row>
    <row r="384" spans="7:7" x14ac:dyDescent="0.3">
      <c r="G384"/>
    </row>
    <row r="385" spans="7:7" x14ac:dyDescent="0.3">
      <c r="G385"/>
    </row>
    <row r="386" spans="7:7" x14ac:dyDescent="0.3">
      <c r="G386"/>
    </row>
    <row r="387" spans="7:7" x14ac:dyDescent="0.3">
      <c r="G387"/>
    </row>
    <row r="388" spans="7:7" x14ac:dyDescent="0.3">
      <c r="G388"/>
    </row>
    <row r="389" spans="7:7" x14ac:dyDescent="0.3">
      <c r="G389"/>
    </row>
    <row r="390" spans="7:7" x14ac:dyDescent="0.3">
      <c r="G390"/>
    </row>
    <row r="391" spans="7:7" x14ac:dyDescent="0.3">
      <c r="G391"/>
    </row>
    <row r="392" spans="7:7" x14ac:dyDescent="0.3">
      <c r="G392"/>
    </row>
    <row r="393" spans="7:7" x14ac:dyDescent="0.3">
      <c r="G393"/>
    </row>
    <row r="394" spans="7:7" x14ac:dyDescent="0.3">
      <c r="G394"/>
    </row>
    <row r="395" spans="7:7" x14ac:dyDescent="0.3">
      <c r="G395"/>
    </row>
    <row r="396" spans="7:7" x14ac:dyDescent="0.3">
      <c r="G396"/>
    </row>
    <row r="397" spans="7:7" x14ac:dyDescent="0.3">
      <c r="G397"/>
    </row>
    <row r="398" spans="7:7" x14ac:dyDescent="0.3">
      <c r="G398"/>
    </row>
    <row r="399" spans="7:7" x14ac:dyDescent="0.3">
      <c r="G399"/>
    </row>
    <row r="400" spans="7:7" x14ac:dyDescent="0.3">
      <c r="G400"/>
    </row>
    <row r="401" spans="7:7" x14ac:dyDescent="0.3">
      <c r="G401"/>
    </row>
    <row r="402" spans="7:7" x14ac:dyDescent="0.3">
      <c r="G402"/>
    </row>
    <row r="403" spans="7:7" x14ac:dyDescent="0.3">
      <c r="G403"/>
    </row>
    <row r="404" spans="7:7" x14ac:dyDescent="0.3">
      <c r="G404"/>
    </row>
    <row r="405" spans="7:7" x14ac:dyDescent="0.3">
      <c r="G405"/>
    </row>
    <row r="406" spans="7:7" x14ac:dyDescent="0.3">
      <c r="G406"/>
    </row>
    <row r="407" spans="7:7" x14ac:dyDescent="0.3">
      <c r="G407"/>
    </row>
    <row r="408" spans="7:7" x14ac:dyDescent="0.3">
      <c r="G408"/>
    </row>
    <row r="409" spans="7:7" x14ac:dyDescent="0.3">
      <c r="G409"/>
    </row>
    <row r="410" spans="7:7" x14ac:dyDescent="0.3">
      <c r="G410"/>
    </row>
    <row r="411" spans="7:7" x14ac:dyDescent="0.3">
      <c r="G411"/>
    </row>
    <row r="412" spans="7:7" x14ac:dyDescent="0.3">
      <c r="G412"/>
    </row>
    <row r="413" spans="7:7" x14ac:dyDescent="0.3">
      <c r="G413"/>
    </row>
    <row r="414" spans="7:7" x14ac:dyDescent="0.3">
      <c r="G414"/>
    </row>
    <row r="415" spans="7:7" x14ac:dyDescent="0.3">
      <c r="G415"/>
    </row>
    <row r="416" spans="7:7" x14ac:dyDescent="0.3">
      <c r="G416"/>
    </row>
    <row r="417" spans="7:7" x14ac:dyDescent="0.3">
      <c r="G417"/>
    </row>
    <row r="418" spans="7:7" x14ac:dyDescent="0.3">
      <c r="G418"/>
    </row>
    <row r="419" spans="7:7" x14ac:dyDescent="0.3">
      <c r="G419"/>
    </row>
    <row r="420" spans="7:7" x14ac:dyDescent="0.3">
      <c r="G420"/>
    </row>
    <row r="421" spans="7:7" x14ac:dyDescent="0.3">
      <c r="G421"/>
    </row>
    <row r="422" spans="7:7" x14ac:dyDescent="0.3">
      <c r="G422"/>
    </row>
    <row r="423" spans="7:7" x14ac:dyDescent="0.3">
      <c r="G423"/>
    </row>
    <row r="424" spans="7:7" x14ac:dyDescent="0.3">
      <c r="G424"/>
    </row>
    <row r="425" spans="7:7" x14ac:dyDescent="0.3">
      <c r="G425"/>
    </row>
    <row r="426" spans="7:7" x14ac:dyDescent="0.3">
      <c r="G426"/>
    </row>
    <row r="427" spans="7:7" x14ac:dyDescent="0.3">
      <c r="G427"/>
    </row>
    <row r="428" spans="7:7" x14ac:dyDescent="0.3">
      <c r="G428"/>
    </row>
    <row r="429" spans="7:7" x14ac:dyDescent="0.3">
      <c r="G429"/>
    </row>
    <row r="430" spans="7:7" x14ac:dyDescent="0.3">
      <c r="G430"/>
    </row>
    <row r="431" spans="7:7" x14ac:dyDescent="0.3">
      <c r="G431"/>
    </row>
    <row r="432" spans="7:7" x14ac:dyDescent="0.3">
      <c r="G432"/>
    </row>
    <row r="433" spans="7:7" x14ac:dyDescent="0.3">
      <c r="G433"/>
    </row>
    <row r="434" spans="7:7" x14ac:dyDescent="0.3">
      <c r="G434"/>
    </row>
    <row r="435" spans="7:7" x14ac:dyDescent="0.3">
      <c r="G435"/>
    </row>
    <row r="436" spans="7:7" x14ac:dyDescent="0.3">
      <c r="G436"/>
    </row>
    <row r="437" spans="7:7" x14ac:dyDescent="0.3">
      <c r="G437"/>
    </row>
    <row r="438" spans="7:7" x14ac:dyDescent="0.3">
      <c r="G438"/>
    </row>
    <row r="439" spans="7:7" x14ac:dyDescent="0.3">
      <c r="G439"/>
    </row>
    <row r="440" spans="7:7" x14ac:dyDescent="0.3">
      <c r="G440"/>
    </row>
    <row r="441" spans="7:7" x14ac:dyDescent="0.3">
      <c r="G441"/>
    </row>
    <row r="442" spans="7:7" x14ac:dyDescent="0.3">
      <c r="G442"/>
    </row>
    <row r="443" spans="7:7" x14ac:dyDescent="0.3">
      <c r="G443"/>
    </row>
    <row r="444" spans="7:7" x14ac:dyDescent="0.3">
      <c r="G444"/>
    </row>
    <row r="445" spans="7:7" x14ac:dyDescent="0.3">
      <c r="G445"/>
    </row>
    <row r="446" spans="7:7" x14ac:dyDescent="0.3">
      <c r="G446"/>
    </row>
    <row r="447" spans="7:7" x14ac:dyDescent="0.3">
      <c r="G447"/>
    </row>
    <row r="448" spans="7:7" x14ac:dyDescent="0.3">
      <c r="G448"/>
    </row>
    <row r="449" spans="7:7" x14ac:dyDescent="0.3">
      <c r="G449"/>
    </row>
    <row r="450" spans="7:7" x14ac:dyDescent="0.3">
      <c r="G450"/>
    </row>
    <row r="451" spans="7:7" x14ac:dyDescent="0.3">
      <c r="G451"/>
    </row>
    <row r="452" spans="7:7" x14ac:dyDescent="0.3">
      <c r="G452"/>
    </row>
    <row r="453" spans="7:7" x14ac:dyDescent="0.3">
      <c r="G453"/>
    </row>
    <row r="454" spans="7:7" x14ac:dyDescent="0.3">
      <c r="G454"/>
    </row>
    <row r="455" spans="7:7" x14ac:dyDescent="0.3">
      <c r="G455"/>
    </row>
    <row r="456" spans="7:7" x14ac:dyDescent="0.3">
      <c r="G456"/>
    </row>
    <row r="457" spans="7:7" x14ac:dyDescent="0.3">
      <c r="G457"/>
    </row>
    <row r="458" spans="7:7" x14ac:dyDescent="0.3">
      <c r="G458"/>
    </row>
    <row r="459" spans="7:7" x14ac:dyDescent="0.3">
      <c r="G459"/>
    </row>
    <row r="460" spans="7:7" x14ac:dyDescent="0.3">
      <c r="G460"/>
    </row>
    <row r="461" spans="7:7" x14ac:dyDescent="0.3">
      <c r="G461"/>
    </row>
    <row r="462" spans="7:7" x14ac:dyDescent="0.3">
      <c r="G462"/>
    </row>
    <row r="463" spans="7:7" x14ac:dyDescent="0.3">
      <c r="G463"/>
    </row>
    <row r="464" spans="7:7" x14ac:dyDescent="0.3">
      <c r="G464"/>
    </row>
    <row r="465" spans="7:7" x14ac:dyDescent="0.3">
      <c r="G465"/>
    </row>
    <row r="466" spans="7:7" x14ac:dyDescent="0.3">
      <c r="G466"/>
    </row>
    <row r="467" spans="7:7" x14ac:dyDescent="0.3">
      <c r="G467"/>
    </row>
    <row r="468" spans="7:7" x14ac:dyDescent="0.3">
      <c r="G468"/>
    </row>
    <row r="469" spans="7:7" x14ac:dyDescent="0.3">
      <c r="G469"/>
    </row>
    <row r="470" spans="7:7" x14ac:dyDescent="0.3">
      <c r="G470"/>
    </row>
    <row r="471" spans="7:7" x14ac:dyDescent="0.3">
      <c r="G471"/>
    </row>
    <row r="472" spans="7:7" x14ac:dyDescent="0.3">
      <c r="G472"/>
    </row>
    <row r="473" spans="7:7" x14ac:dyDescent="0.3">
      <c r="G473"/>
    </row>
    <row r="474" spans="7:7" x14ac:dyDescent="0.3">
      <c r="G474"/>
    </row>
    <row r="475" spans="7:7" x14ac:dyDescent="0.3">
      <c r="G475"/>
    </row>
    <row r="476" spans="7:7" x14ac:dyDescent="0.3">
      <c r="G476"/>
    </row>
    <row r="477" spans="7:7" x14ac:dyDescent="0.3">
      <c r="G477"/>
    </row>
    <row r="478" spans="7:7" x14ac:dyDescent="0.3">
      <c r="G478"/>
    </row>
    <row r="479" spans="7:7" x14ac:dyDescent="0.3">
      <c r="G479"/>
    </row>
    <row r="480" spans="7:7" x14ac:dyDescent="0.3">
      <c r="G480"/>
    </row>
    <row r="481" spans="7:7" x14ac:dyDescent="0.3">
      <c r="G481"/>
    </row>
    <row r="482" spans="7:7" x14ac:dyDescent="0.3">
      <c r="G482"/>
    </row>
    <row r="483" spans="7:7" x14ac:dyDescent="0.3">
      <c r="G483"/>
    </row>
    <row r="484" spans="7:7" x14ac:dyDescent="0.3">
      <c r="G484"/>
    </row>
    <row r="485" spans="7:7" x14ac:dyDescent="0.3">
      <c r="G485"/>
    </row>
    <row r="486" spans="7:7" x14ac:dyDescent="0.3">
      <c r="G486"/>
    </row>
    <row r="487" spans="7:7" x14ac:dyDescent="0.3">
      <c r="G487"/>
    </row>
    <row r="488" spans="7:7" x14ac:dyDescent="0.3">
      <c r="G488"/>
    </row>
    <row r="489" spans="7:7" x14ac:dyDescent="0.3">
      <c r="G489"/>
    </row>
    <row r="490" spans="7:7" x14ac:dyDescent="0.3">
      <c r="G490"/>
    </row>
    <row r="491" spans="7:7" x14ac:dyDescent="0.3">
      <c r="G491"/>
    </row>
    <row r="492" spans="7:7" x14ac:dyDescent="0.3">
      <c r="G492"/>
    </row>
    <row r="493" spans="7:7" x14ac:dyDescent="0.3">
      <c r="G493"/>
    </row>
    <row r="494" spans="7:7" x14ac:dyDescent="0.3">
      <c r="G494"/>
    </row>
    <row r="495" spans="7:7" x14ac:dyDescent="0.3">
      <c r="G495"/>
    </row>
    <row r="496" spans="7:7" x14ac:dyDescent="0.3">
      <c r="G496"/>
    </row>
    <row r="497" spans="7:7" x14ac:dyDescent="0.3">
      <c r="G497"/>
    </row>
    <row r="498" spans="7:7" x14ac:dyDescent="0.3">
      <c r="G498"/>
    </row>
    <row r="499" spans="7:7" x14ac:dyDescent="0.3">
      <c r="G499"/>
    </row>
    <row r="500" spans="7:7" x14ac:dyDescent="0.3">
      <c r="G500"/>
    </row>
    <row r="501" spans="7:7" x14ac:dyDescent="0.3">
      <c r="G501"/>
    </row>
    <row r="502" spans="7:7" x14ac:dyDescent="0.3">
      <c r="G502"/>
    </row>
    <row r="503" spans="7:7" x14ac:dyDescent="0.3">
      <c r="G503"/>
    </row>
    <row r="504" spans="7:7" x14ac:dyDescent="0.3">
      <c r="G504"/>
    </row>
    <row r="505" spans="7:7" x14ac:dyDescent="0.3">
      <c r="G505"/>
    </row>
    <row r="506" spans="7:7" x14ac:dyDescent="0.3">
      <c r="G506"/>
    </row>
    <row r="507" spans="7:7" x14ac:dyDescent="0.3">
      <c r="G507"/>
    </row>
    <row r="508" spans="7:7" x14ac:dyDescent="0.3">
      <c r="G508"/>
    </row>
    <row r="509" spans="7:7" x14ac:dyDescent="0.3">
      <c r="G509"/>
    </row>
    <row r="510" spans="7:7" x14ac:dyDescent="0.3">
      <c r="G510"/>
    </row>
    <row r="511" spans="7:7" x14ac:dyDescent="0.3">
      <c r="G511"/>
    </row>
    <row r="512" spans="7:7" x14ac:dyDescent="0.3">
      <c r="G512"/>
    </row>
    <row r="513" spans="7:7" x14ac:dyDescent="0.3">
      <c r="G513"/>
    </row>
    <row r="514" spans="7:7" x14ac:dyDescent="0.3">
      <c r="G514"/>
    </row>
    <row r="515" spans="7:7" x14ac:dyDescent="0.3">
      <c r="G515"/>
    </row>
    <row r="516" spans="7:7" x14ac:dyDescent="0.3">
      <c r="G516"/>
    </row>
    <row r="517" spans="7:7" x14ac:dyDescent="0.3">
      <c r="G517"/>
    </row>
    <row r="518" spans="7:7" x14ac:dyDescent="0.3">
      <c r="G518"/>
    </row>
    <row r="519" spans="7:7" x14ac:dyDescent="0.3">
      <c r="G519"/>
    </row>
    <row r="520" spans="7:7" x14ac:dyDescent="0.3">
      <c r="G520"/>
    </row>
    <row r="521" spans="7:7" x14ac:dyDescent="0.3">
      <c r="G521"/>
    </row>
    <row r="522" spans="7:7" x14ac:dyDescent="0.3">
      <c r="G522"/>
    </row>
    <row r="523" spans="7:7" x14ac:dyDescent="0.3">
      <c r="G523"/>
    </row>
    <row r="524" spans="7:7" x14ac:dyDescent="0.3">
      <c r="G524"/>
    </row>
    <row r="525" spans="7:7" x14ac:dyDescent="0.3">
      <c r="G525"/>
    </row>
    <row r="526" spans="7:7" x14ac:dyDescent="0.3">
      <c r="G526"/>
    </row>
    <row r="527" spans="7:7" x14ac:dyDescent="0.3">
      <c r="G527"/>
    </row>
    <row r="528" spans="7:7" x14ac:dyDescent="0.3">
      <c r="G528"/>
    </row>
    <row r="529" spans="7:7" x14ac:dyDescent="0.3">
      <c r="G529"/>
    </row>
    <row r="530" spans="7:7" x14ac:dyDescent="0.3">
      <c r="G530"/>
    </row>
    <row r="531" spans="7:7" x14ac:dyDescent="0.3">
      <c r="G531"/>
    </row>
    <row r="532" spans="7:7" x14ac:dyDescent="0.3">
      <c r="G532"/>
    </row>
    <row r="533" spans="7:7" x14ac:dyDescent="0.3">
      <c r="G533"/>
    </row>
    <row r="534" spans="7:7" x14ac:dyDescent="0.3">
      <c r="G534"/>
    </row>
    <row r="535" spans="7:7" x14ac:dyDescent="0.3">
      <c r="G535"/>
    </row>
    <row r="536" spans="7:7" x14ac:dyDescent="0.3">
      <c r="G536"/>
    </row>
    <row r="537" spans="7:7" x14ac:dyDescent="0.3">
      <c r="G537"/>
    </row>
    <row r="538" spans="7:7" x14ac:dyDescent="0.3">
      <c r="G538"/>
    </row>
    <row r="539" spans="7:7" x14ac:dyDescent="0.3">
      <c r="G539"/>
    </row>
    <row r="540" spans="7:7" x14ac:dyDescent="0.3">
      <c r="G540"/>
    </row>
    <row r="541" spans="7:7" x14ac:dyDescent="0.3">
      <c r="G541"/>
    </row>
    <row r="542" spans="7:7" x14ac:dyDescent="0.3">
      <c r="G542"/>
    </row>
    <row r="543" spans="7:7" x14ac:dyDescent="0.3">
      <c r="G543"/>
    </row>
    <row r="544" spans="7:7" x14ac:dyDescent="0.3">
      <c r="G544"/>
    </row>
    <row r="545" spans="7:7" x14ac:dyDescent="0.3">
      <c r="G545"/>
    </row>
    <row r="546" spans="7:7" x14ac:dyDescent="0.3">
      <c r="G546"/>
    </row>
    <row r="547" spans="7:7" x14ac:dyDescent="0.3">
      <c r="G547"/>
    </row>
    <row r="548" spans="7:7" x14ac:dyDescent="0.3">
      <c r="G548"/>
    </row>
    <row r="549" spans="7:7" x14ac:dyDescent="0.3">
      <c r="G549"/>
    </row>
    <row r="550" spans="7:7" x14ac:dyDescent="0.3">
      <c r="G550"/>
    </row>
    <row r="551" spans="7:7" x14ac:dyDescent="0.3">
      <c r="G551"/>
    </row>
    <row r="552" spans="7:7" x14ac:dyDescent="0.3">
      <c r="G552"/>
    </row>
    <row r="553" spans="7:7" x14ac:dyDescent="0.3">
      <c r="G553"/>
    </row>
    <row r="554" spans="7:7" x14ac:dyDescent="0.3">
      <c r="G554"/>
    </row>
    <row r="555" spans="7:7" x14ac:dyDescent="0.3">
      <c r="G555"/>
    </row>
    <row r="556" spans="7:7" x14ac:dyDescent="0.3">
      <c r="G556"/>
    </row>
    <row r="557" spans="7:7" x14ac:dyDescent="0.3">
      <c r="G557"/>
    </row>
    <row r="558" spans="7:7" x14ac:dyDescent="0.3">
      <c r="G558"/>
    </row>
    <row r="559" spans="7:7" x14ac:dyDescent="0.3">
      <c r="G559"/>
    </row>
    <row r="560" spans="7:7" x14ac:dyDescent="0.3">
      <c r="G560"/>
    </row>
    <row r="561" spans="7:7" x14ac:dyDescent="0.3">
      <c r="G561"/>
    </row>
    <row r="562" spans="7:7" x14ac:dyDescent="0.3">
      <c r="G562"/>
    </row>
    <row r="563" spans="7:7" x14ac:dyDescent="0.3">
      <c r="G563"/>
    </row>
    <row r="564" spans="7:7" x14ac:dyDescent="0.3">
      <c r="G564"/>
    </row>
    <row r="565" spans="7:7" x14ac:dyDescent="0.3">
      <c r="G565"/>
    </row>
    <row r="566" spans="7:7" x14ac:dyDescent="0.3">
      <c r="G566"/>
    </row>
    <row r="567" spans="7:7" x14ac:dyDescent="0.3">
      <c r="G567"/>
    </row>
    <row r="568" spans="7:7" x14ac:dyDescent="0.3">
      <c r="G568"/>
    </row>
    <row r="569" spans="7:7" x14ac:dyDescent="0.3">
      <c r="G569"/>
    </row>
    <row r="570" spans="7:7" x14ac:dyDescent="0.3">
      <c r="G570"/>
    </row>
    <row r="571" spans="7:7" x14ac:dyDescent="0.3">
      <c r="G571"/>
    </row>
    <row r="572" spans="7:7" x14ac:dyDescent="0.3">
      <c r="G572"/>
    </row>
    <row r="573" spans="7:7" x14ac:dyDescent="0.3">
      <c r="G573"/>
    </row>
    <row r="574" spans="7:7" x14ac:dyDescent="0.3">
      <c r="G574"/>
    </row>
    <row r="575" spans="7:7" x14ac:dyDescent="0.3">
      <c r="G575"/>
    </row>
    <row r="576" spans="7:7" x14ac:dyDescent="0.3">
      <c r="G576"/>
    </row>
    <row r="577" spans="7:7" x14ac:dyDescent="0.3">
      <c r="G577"/>
    </row>
    <row r="578" spans="7:7" x14ac:dyDescent="0.3">
      <c r="G578"/>
    </row>
    <row r="579" spans="7:7" x14ac:dyDescent="0.3">
      <c r="G579"/>
    </row>
    <row r="580" spans="7:7" x14ac:dyDescent="0.3">
      <c r="G580"/>
    </row>
    <row r="581" spans="7:7" x14ac:dyDescent="0.3">
      <c r="G581"/>
    </row>
    <row r="582" spans="7:7" x14ac:dyDescent="0.3">
      <c r="G582"/>
    </row>
    <row r="583" spans="7:7" x14ac:dyDescent="0.3">
      <c r="G583"/>
    </row>
    <row r="584" spans="7:7" x14ac:dyDescent="0.3">
      <c r="G584"/>
    </row>
    <row r="585" spans="7:7" x14ac:dyDescent="0.3">
      <c r="G585"/>
    </row>
    <row r="586" spans="7:7" x14ac:dyDescent="0.3">
      <c r="G586"/>
    </row>
    <row r="587" spans="7:7" x14ac:dyDescent="0.3">
      <c r="G587"/>
    </row>
    <row r="588" spans="7:7" x14ac:dyDescent="0.3">
      <c r="G588"/>
    </row>
    <row r="589" spans="7:7" x14ac:dyDescent="0.3">
      <c r="G589"/>
    </row>
    <row r="590" spans="7:7" x14ac:dyDescent="0.3">
      <c r="G590"/>
    </row>
    <row r="591" spans="7:7" x14ac:dyDescent="0.3">
      <c r="G591"/>
    </row>
    <row r="592" spans="7:7" x14ac:dyDescent="0.3">
      <c r="G592"/>
    </row>
    <row r="593" spans="7:7" x14ac:dyDescent="0.3">
      <c r="G593"/>
    </row>
    <row r="594" spans="7:7" x14ac:dyDescent="0.3">
      <c r="G594"/>
    </row>
    <row r="595" spans="7:7" x14ac:dyDescent="0.3">
      <c r="G595"/>
    </row>
    <row r="596" spans="7:7" x14ac:dyDescent="0.3">
      <c r="G596"/>
    </row>
    <row r="597" spans="7:7" x14ac:dyDescent="0.3">
      <c r="G597"/>
    </row>
    <row r="598" spans="7:7" x14ac:dyDescent="0.3">
      <c r="G598"/>
    </row>
    <row r="599" spans="7:7" x14ac:dyDescent="0.3">
      <c r="G599"/>
    </row>
    <row r="600" spans="7:7" x14ac:dyDescent="0.3">
      <c r="G600"/>
    </row>
    <row r="601" spans="7:7" x14ac:dyDescent="0.3">
      <c r="G601"/>
    </row>
    <row r="602" spans="7:7" x14ac:dyDescent="0.3">
      <c r="G602"/>
    </row>
    <row r="603" spans="7:7" x14ac:dyDescent="0.3">
      <c r="G603"/>
    </row>
    <row r="604" spans="7:7" x14ac:dyDescent="0.3">
      <c r="G604"/>
    </row>
    <row r="605" spans="7:7" x14ac:dyDescent="0.3">
      <c r="G605"/>
    </row>
    <row r="606" spans="7:7" x14ac:dyDescent="0.3">
      <c r="G606"/>
    </row>
    <row r="607" spans="7:7" x14ac:dyDescent="0.3">
      <c r="G607"/>
    </row>
    <row r="608" spans="7:7" x14ac:dyDescent="0.3">
      <c r="G608"/>
    </row>
    <row r="609" spans="7:7" x14ac:dyDescent="0.3">
      <c r="G609"/>
    </row>
    <row r="610" spans="7:7" x14ac:dyDescent="0.3">
      <c r="G610"/>
    </row>
    <row r="611" spans="7:7" x14ac:dyDescent="0.3">
      <c r="G611"/>
    </row>
    <row r="612" spans="7:7" x14ac:dyDescent="0.3">
      <c r="G612"/>
    </row>
    <row r="613" spans="7:7" x14ac:dyDescent="0.3">
      <c r="G613"/>
    </row>
    <row r="614" spans="7:7" x14ac:dyDescent="0.3">
      <c r="G614"/>
    </row>
    <row r="615" spans="7:7" x14ac:dyDescent="0.3">
      <c r="G615"/>
    </row>
    <row r="616" spans="7:7" x14ac:dyDescent="0.3">
      <c r="G616"/>
    </row>
    <row r="617" spans="7:7" x14ac:dyDescent="0.3">
      <c r="G617"/>
    </row>
    <row r="618" spans="7:7" x14ac:dyDescent="0.3">
      <c r="G618"/>
    </row>
    <row r="619" spans="7:7" x14ac:dyDescent="0.3">
      <c r="G619"/>
    </row>
    <row r="620" spans="7:7" x14ac:dyDescent="0.3">
      <c r="G620"/>
    </row>
    <row r="621" spans="7:7" x14ac:dyDescent="0.3">
      <c r="G621"/>
    </row>
    <row r="622" spans="7:7" x14ac:dyDescent="0.3">
      <c r="G622"/>
    </row>
    <row r="623" spans="7:7" x14ac:dyDescent="0.3">
      <c r="G623"/>
    </row>
    <row r="624" spans="7:7" x14ac:dyDescent="0.3">
      <c r="G624"/>
    </row>
    <row r="625" spans="7:7" x14ac:dyDescent="0.3">
      <c r="G625"/>
    </row>
    <row r="626" spans="7:7" x14ac:dyDescent="0.3">
      <c r="G626"/>
    </row>
    <row r="627" spans="7:7" x14ac:dyDescent="0.3">
      <c r="G627"/>
    </row>
    <row r="628" spans="7:7" x14ac:dyDescent="0.3">
      <c r="G628"/>
    </row>
    <row r="629" spans="7:7" x14ac:dyDescent="0.3">
      <c r="G629"/>
    </row>
    <row r="630" spans="7:7" x14ac:dyDescent="0.3">
      <c r="G630"/>
    </row>
    <row r="631" spans="7:7" x14ac:dyDescent="0.3">
      <c r="G631"/>
    </row>
    <row r="632" spans="7:7" x14ac:dyDescent="0.3">
      <c r="G632"/>
    </row>
    <row r="633" spans="7:7" x14ac:dyDescent="0.3">
      <c r="G633"/>
    </row>
    <row r="634" spans="7:7" x14ac:dyDescent="0.3">
      <c r="G634"/>
    </row>
    <row r="635" spans="7:7" x14ac:dyDescent="0.3">
      <c r="G635"/>
    </row>
    <row r="636" spans="7:7" x14ac:dyDescent="0.3">
      <c r="G636"/>
    </row>
    <row r="637" spans="7:7" x14ac:dyDescent="0.3">
      <c r="G637"/>
    </row>
    <row r="638" spans="7:7" x14ac:dyDescent="0.3">
      <c r="G638"/>
    </row>
    <row r="639" spans="7:7" x14ac:dyDescent="0.3">
      <c r="G639"/>
    </row>
    <row r="640" spans="7:7" x14ac:dyDescent="0.3">
      <c r="G640"/>
    </row>
    <row r="641" spans="7:7" x14ac:dyDescent="0.3">
      <c r="G641"/>
    </row>
    <row r="642" spans="7:7" x14ac:dyDescent="0.3">
      <c r="G642"/>
    </row>
    <row r="643" spans="7:7" x14ac:dyDescent="0.3">
      <c r="G643"/>
    </row>
    <row r="644" spans="7:7" x14ac:dyDescent="0.3">
      <c r="G644"/>
    </row>
    <row r="645" spans="7:7" x14ac:dyDescent="0.3">
      <c r="G645"/>
    </row>
    <row r="646" spans="7:7" x14ac:dyDescent="0.3">
      <c r="G646"/>
    </row>
    <row r="647" spans="7:7" x14ac:dyDescent="0.3">
      <c r="G647"/>
    </row>
    <row r="648" spans="7:7" x14ac:dyDescent="0.3">
      <c r="G648"/>
    </row>
    <row r="649" spans="7:7" x14ac:dyDescent="0.3">
      <c r="G649"/>
    </row>
    <row r="650" spans="7:7" x14ac:dyDescent="0.3">
      <c r="G650"/>
    </row>
    <row r="651" spans="7:7" x14ac:dyDescent="0.3">
      <c r="G651"/>
    </row>
    <row r="652" spans="7:7" x14ac:dyDescent="0.3">
      <c r="G652"/>
    </row>
    <row r="653" spans="7:7" x14ac:dyDescent="0.3">
      <c r="G653"/>
    </row>
    <row r="654" spans="7:7" x14ac:dyDescent="0.3">
      <c r="G654"/>
    </row>
    <row r="655" spans="7:7" x14ac:dyDescent="0.3">
      <c r="G655"/>
    </row>
    <row r="656" spans="7:7" x14ac:dyDescent="0.3">
      <c r="G656"/>
    </row>
    <row r="657" spans="7:7" x14ac:dyDescent="0.3">
      <c r="G657"/>
    </row>
    <row r="658" spans="7:7" x14ac:dyDescent="0.3">
      <c r="G658"/>
    </row>
    <row r="659" spans="7:7" x14ac:dyDescent="0.3">
      <c r="G659"/>
    </row>
    <row r="660" spans="7:7" x14ac:dyDescent="0.3">
      <c r="G660"/>
    </row>
    <row r="661" spans="7:7" x14ac:dyDescent="0.3">
      <c r="G661"/>
    </row>
    <row r="662" spans="7:7" x14ac:dyDescent="0.3">
      <c r="G662"/>
    </row>
    <row r="663" spans="7:7" x14ac:dyDescent="0.3">
      <c r="G663"/>
    </row>
    <row r="664" spans="7:7" x14ac:dyDescent="0.3">
      <c r="G664"/>
    </row>
    <row r="665" spans="7:7" x14ac:dyDescent="0.3">
      <c r="G665"/>
    </row>
    <row r="666" spans="7:7" x14ac:dyDescent="0.3">
      <c r="G666"/>
    </row>
    <row r="667" spans="7:7" x14ac:dyDescent="0.3">
      <c r="G667"/>
    </row>
    <row r="668" spans="7:7" x14ac:dyDescent="0.3">
      <c r="G668"/>
    </row>
    <row r="669" spans="7:7" x14ac:dyDescent="0.3">
      <c r="G669"/>
    </row>
    <row r="670" spans="7:7" x14ac:dyDescent="0.3">
      <c r="G670"/>
    </row>
    <row r="671" spans="7:7" x14ac:dyDescent="0.3">
      <c r="G671"/>
    </row>
    <row r="672" spans="7:7" x14ac:dyDescent="0.3">
      <c r="G672"/>
    </row>
    <row r="673" spans="7:7" x14ac:dyDescent="0.3">
      <c r="G673"/>
    </row>
    <row r="674" spans="7:7" x14ac:dyDescent="0.3">
      <c r="G674"/>
    </row>
    <row r="675" spans="7:7" x14ac:dyDescent="0.3">
      <c r="G675"/>
    </row>
    <row r="676" spans="7:7" x14ac:dyDescent="0.3">
      <c r="G676"/>
    </row>
    <row r="677" spans="7:7" x14ac:dyDescent="0.3">
      <c r="G677"/>
    </row>
    <row r="678" spans="7:7" x14ac:dyDescent="0.3">
      <c r="G678"/>
    </row>
    <row r="679" spans="7:7" x14ac:dyDescent="0.3">
      <c r="G679"/>
    </row>
    <row r="680" spans="7:7" x14ac:dyDescent="0.3">
      <c r="G680"/>
    </row>
    <row r="681" spans="7:7" x14ac:dyDescent="0.3">
      <c r="G681"/>
    </row>
    <row r="682" spans="7:7" x14ac:dyDescent="0.3">
      <c r="G682"/>
    </row>
    <row r="683" spans="7:7" x14ac:dyDescent="0.3">
      <c r="G683"/>
    </row>
    <row r="684" spans="7:7" x14ac:dyDescent="0.3">
      <c r="G684"/>
    </row>
    <row r="685" spans="7:7" x14ac:dyDescent="0.3">
      <c r="G685"/>
    </row>
    <row r="686" spans="7:7" x14ac:dyDescent="0.3">
      <c r="G686"/>
    </row>
    <row r="687" spans="7:7" x14ac:dyDescent="0.3">
      <c r="G687"/>
    </row>
    <row r="688" spans="7:7" x14ac:dyDescent="0.3">
      <c r="G688"/>
    </row>
    <row r="689" spans="7:7" x14ac:dyDescent="0.3">
      <c r="G689"/>
    </row>
    <row r="690" spans="7:7" x14ac:dyDescent="0.3">
      <c r="G690"/>
    </row>
    <row r="691" spans="7:7" x14ac:dyDescent="0.3">
      <c r="G691"/>
    </row>
    <row r="692" spans="7:7" x14ac:dyDescent="0.3">
      <c r="G692"/>
    </row>
    <row r="693" spans="7:7" x14ac:dyDescent="0.3">
      <c r="G693"/>
    </row>
    <row r="694" spans="7:7" x14ac:dyDescent="0.3">
      <c r="G694"/>
    </row>
    <row r="695" spans="7:7" x14ac:dyDescent="0.3">
      <c r="G695"/>
    </row>
    <row r="696" spans="7:7" x14ac:dyDescent="0.3">
      <c r="G696"/>
    </row>
    <row r="697" spans="7:7" x14ac:dyDescent="0.3">
      <c r="G697"/>
    </row>
    <row r="698" spans="7:7" x14ac:dyDescent="0.3">
      <c r="G698"/>
    </row>
    <row r="699" spans="7:7" x14ac:dyDescent="0.3">
      <c r="G699"/>
    </row>
    <row r="700" spans="7:7" x14ac:dyDescent="0.3">
      <c r="G700"/>
    </row>
    <row r="701" spans="7:7" x14ac:dyDescent="0.3">
      <c r="G701"/>
    </row>
    <row r="702" spans="7:7" x14ac:dyDescent="0.3">
      <c r="G702"/>
    </row>
    <row r="703" spans="7:7" x14ac:dyDescent="0.3">
      <c r="G703"/>
    </row>
    <row r="704" spans="7:7" x14ac:dyDescent="0.3">
      <c r="G704"/>
    </row>
    <row r="705" spans="7:7" x14ac:dyDescent="0.3">
      <c r="G705"/>
    </row>
    <row r="706" spans="7:7" x14ac:dyDescent="0.3">
      <c r="G706"/>
    </row>
    <row r="707" spans="7:7" x14ac:dyDescent="0.3">
      <c r="G707"/>
    </row>
    <row r="708" spans="7:7" x14ac:dyDescent="0.3">
      <c r="G708"/>
    </row>
    <row r="709" spans="7:7" x14ac:dyDescent="0.3">
      <c r="G709"/>
    </row>
    <row r="710" spans="7:7" x14ac:dyDescent="0.3">
      <c r="G710"/>
    </row>
    <row r="711" spans="7:7" x14ac:dyDescent="0.3">
      <c r="G711"/>
    </row>
    <row r="712" spans="7:7" x14ac:dyDescent="0.3">
      <c r="G712"/>
    </row>
    <row r="713" spans="7:7" x14ac:dyDescent="0.3">
      <c r="G713"/>
    </row>
    <row r="714" spans="7:7" x14ac:dyDescent="0.3">
      <c r="G714"/>
    </row>
    <row r="715" spans="7:7" x14ac:dyDescent="0.3">
      <c r="G715"/>
    </row>
    <row r="716" spans="7:7" x14ac:dyDescent="0.3">
      <c r="G716"/>
    </row>
    <row r="717" spans="7:7" x14ac:dyDescent="0.3">
      <c r="G717"/>
    </row>
    <row r="718" spans="7:7" x14ac:dyDescent="0.3">
      <c r="G718"/>
    </row>
    <row r="719" spans="7:7" x14ac:dyDescent="0.3">
      <c r="G719"/>
    </row>
    <row r="720" spans="7:7" x14ac:dyDescent="0.3">
      <c r="G720"/>
    </row>
    <row r="721" spans="7:7" x14ac:dyDescent="0.3">
      <c r="G721"/>
    </row>
    <row r="722" spans="7:7" x14ac:dyDescent="0.3">
      <c r="G722"/>
    </row>
    <row r="723" spans="7:7" x14ac:dyDescent="0.3">
      <c r="G723"/>
    </row>
    <row r="724" spans="7:7" x14ac:dyDescent="0.3">
      <c r="G724"/>
    </row>
    <row r="725" spans="7:7" x14ac:dyDescent="0.3">
      <c r="G725"/>
    </row>
    <row r="726" spans="7:7" x14ac:dyDescent="0.3">
      <c r="G726"/>
    </row>
    <row r="727" spans="7:7" x14ac:dyDescent="0.3">
      <c r="G727"/>
    </row>
    <row r="728" spans="7:7" x14ac:dyDescent="0.3">
      <c r="G728"/>
    </row>
    <row r="729" spans="7:7" x14ac:dyDescent="0.3">
      <c r="G729"/>
    </row>
    <row r="730" spans="7:7" x14ac:dyDescent="0.3">
      <c r="G730"/>
    </row>
    <row r="731" spans="7:7" x14ac:dyDescent="0.3">
      <c r="G731"/>
    </row>
    <row r="732" spans="7:7" x14ac:dyDescent="0.3">
      <c r="G732"/>
    </row>
    <row r="733" spans="7:7" x14ac:dyDescent="0.3">
      <c r="G733"/>
    </row>
    <row r="734" spans="7:7" x14ac:dyDescent="0.3">
      <c r="G734"/>
    </row>
    <row r="735" spans="7:7" x14ac:dyDescent="0.3">
      <c r="G735"/>
    </row>
    <row r="736" spans="7:7" x14ac:dyDescent="0.3">
      <c r="G736"/>
    </row>
    <row r="737" spans="7:7" x14ac:dyDescent="0.3">
      <c r="G737"/>
    </row>
    <row r="738" spans="7:7" x14ac:dyDescent="0.3">
      <c r="G738"/>
    </row>
    <row r="739" spans="7:7" x14ac:dyDescent="0.3">
      <c r="G739"/>
    </row>
    <row r="740" spans="7:7" x14ac:dyDescent="0.3">
      <c r="G740"/>
    </row>
    <row r="741" spans="7:7" x14ac:dyDescent="0.3">
      <c r="G741"/>
    </row>
    <row r="742" spans="7:7" x14ac:dyDescent="0.3">
      <c r="G742"/>
    </row>
    <row r="743" spans="7:7" x14ac:dyDescent="0.3">
      <c r="G743"/>
    </row>
    <row r="744" spans="7:7" x14ac:dyDescent="0.3">
      <c r="G744"/>
    </row>
    <row r="745" spans="7:7" x14ac:dyDescent="0.3">
      <c r="G745"/>
    </row>
    <row r="746" spans="7:7" x14ac:dyDescent="0.3">
      <c r="G746"/>
    </row>
    <row r="747" spans="7:7" x14ac:dyDescent="0.3">
      <c r="G747"/>
    </row>
    <row r="748" spans="7:7" x14ac:dyDescent="0.3">
      <c r="G748"/>
    </row>
    <row r="749" spans="7:7" x14ac:dyDescent="0.3">
      <c r="G749"/>
    </row>
    <row r="750" spans="7:7" x14ac:dyDescent="0.3">
      <c r="G750"/>
    </row>
    <row r="751" spans="7:7" x14ac:dyDescent="0.3">
      <c r="G751"/>
    </row>
    <row r="752" spans="7:7" x14ac:dyDescent="0.3">
      <c r="G752"/>
    </row>
    <row r="753" spans="7:7" x14ac:dyDescent="0.3">
      <c r="G753"/>
    </row>
    <row r="754" spans="7:7" x14ac:dyDescent="0.3">
      <c r="G754"/>
    </row>
    <row r="755" spans="7:7" x14ac:dyDescent="0.3">
      <c r="G755"/>
    </row>
    <row r="756" spans="7:7" x14ac:dyDescent="0.3">
      <c r="G756"/>
    </row>
    <row r="757" spans="7:7" x14ac:dyDescent="0.3">
      <c r="G757"/>
    </row>
    <row r="758" spans="7:7" x14ac:dyDescent="0.3">
      <c r="G758"/>
    </row>
    <row r="759" spans="7:7" x14ac:dyDescent="0.3">
      <c r="G759"/>
    </row>
    <row r="760" spans="7:7" x14ac:dyDescent="0.3">
      <c r="G760"/>
    </row>
    <row r="761" spans="7:7" x14ac:dyDescent="0.3">
      <c r="G761"/>
    </row>
    <row r="762" spans="7:7" x14ac:dyDescent="0.3">
      <c r="G762"/>
    </row>
    <row r="763" spans="7:7" x14ac:dyDescent="0.3">
      <c r="G763"/>
    </row>
    <row r="764" spans="7:7" x14ac:dyDescent="0.3">
      <c r="G764"/>
    </row>
    <row r="765" spans="7:7" x14ac:dyDescent="0.3">
      <c r="G765"/>
    </row>
    <row r="766" spans="7:7" x14ac:dyDescent="0.3">
      <c r="G766"/>
    </row>
    <row r="767" spans="7:7" x14ac:dyDescent="0.3">
      <c r="G767"/>
    </row>
    <row r="768" spans="7:7" x14ac:dyDescent="0.3">
      <c r="G768"/>
    </row>
    <row r="769" spans="7:7" x14ac:dyDescent="0.3">
      <c r="G769"/>
    </row>
    <row r="770" spans="7:7" x14ac:dyDescent="0.3">
      <c r="G770"/>
    </row>
    <row r="771" spans="7:7" x14ac:dyDescent="0.3">
      <c r="G771"/>
    </row>
    <row r="772" spans="7:7" x14ac:dyDescent="0.3">
      <c r="G772"/>
    </row>
    <row r="773" spans="7:7" x14ac:dyDescent="0.3">
      <c r="G773"/>
    </row>
    <row r="774" spans="7:7" x14ac:dyDescent="0.3">
      <c r="G774"/>
    </row>
    <row r="775" spans="7:7" x14ac:dyDescent="0.3">
      <c r="G775"/>
    </row>
    <row r="776" spans="7:7" x14ac:dyDescent="0.3">
      <c r="G776"/>
    </row>
    <row r="777" spans="7:7" x14ac:dyDescent="0.3">
      <c r="G777"/>
    </row>
    <row r="778" spans="7:7" x14ac:dyDescent="0.3">
      <c r="G778"/>
    </row>
    <row r="779" spans="7:7" x14ac:dyDescent="0.3">
      <c r="G779"/>
    </row>
    <row r="780" spans="7:7" x14ac:dyDescent="0.3">
      <c r="G780"/>
    </row>
    <row r="781" spans="7:7" x14ac:dyDescent="0.3">
      <c r="G781"/>
    </row>
    <row r="782" spans="7:7" x14ac:dyDescent="0.3">
      <c r="G782"/>
    </row>
    <row r="783" spans="7:7" x14ac:dyDescent="0.3">
      <c r="G783"/>
    </row>
    <row r="784" spans="7:7" x14ac:dyDescent="0.3">
      <c r="G784"/>
    </row>
    <row r="785" spans="7:7" x14ac:dyDescent="0.3">
      <c r="G785"/>
    </row>
    <row r="786" spans="7:7" x14ac:dyDescent="0.3">
      <c r="G786"/>
    </row>
    <row r="787" spans="7:7" x14ac:dyDescent="0.3">
      <c r="G787"/>
    </row>
    <row r="788" spans="7:7" x14ac:dyDescent="0.3">
      <c r="G788"/>
    </row>
    <row r="789" spans="7:7" x14ac:dyDescent="0.3">
      <c r="G789"/>
    </row>
    <row r="790" spans="7:7" x14ac:dyDescent="0.3">
      <c r="G790"/>
    </row>
    <row r="791" spans="7:7" x14ac:dyDescent="0.3">
      <c r="G791"/>
    </row>
    <row r="792" spans="7:7" x14ac:dyDescent="0.3">
      <c r="G792"/>
    </row>
    <row r="793" spans="7:7" x14ac:dyDescent="0.3">
      <c r="G793"/>
    </row>
    <row r="794" spans="7:7" x14ac:dyDescent="0.3">
      <c r="G794"/>
    </row>
    <row r="795" spans="7:7" x14ac:dyDescent="0.3">
      <c r="G795"/>
    </row>
    <row r="796" spans="7:7" x14ac:dyDescent="0.3">
      <c r="G796"/>
    </row>
    <row r="797" spans="7:7" x14ac:dyDescent="0.3">
      <c r="G797"/>
    </row>
    <row r="798" spans="7:7" x14ac:dyDescent="0.3">
      <c r="G798"/>
    </row>
    <row r="799" spans="7:7" x14ac:dyDescent="0.3">
      <c r="G799"/>
    </row>
    <row r="800" spans="7:7" x14ac:dyDescent="0.3">
      <c r="G800"/>
    </row>
    <row r="801" spans="7:7" x14ac:dyDescent="0.3">
      <c r="G801"/>
    </row>
    <row r="802" spans="7:7" x14ac:dyDescent="0.3">
      <c r="G802"/>
    </row>
    <row r="803" spans="7:7" x14ac:dyDescent="0.3">
      <c r="G803"/>
    </row>
    <row r="804" spans="7:7" x14ac:dyDescent="0.3">
      <c r="G804"/>
    </row>
    <row r="805" spans="7:7" x14ac:dyDescent="0.3">
      <c r="G805"/>
    </row>
    <row r="806" spans="7:7" x14ac:dyDescent="0.3">
      <c r="G806"/>
    </row>
    <row r="807" spans="7:7" x14ac:dyDescent="0.3">
      <c r="G807"/>
    </row>
    <row r="808" spans="7:7" x14ac:dyDescent="0.3">
      <c r="G808"/>
    </row>
    <row r="809" spans="7:7" x14ac:dyDescent="0.3">
      <c r="G809"/>
    </row>
    <row r="810" spans="7:7" x14ac:dyDescent="0.3">
      <c r="G810"/>
    </row>
    <row r="811" spans="7:7" x14ac:dyDescent="0.3">
      <c r="G811"/>
    </row>
    <row r="812" spans="7:7" x14ac:dyDescent="0.3">
      <c r="G812"/>
    </row>
    <row r="813" spans="7:7" x14ac:dyDescent="0.3">
      <c r="G813"/>
    </row>
    <row r="814" spans="7:7" x14ac:dyDescent="0.3">
      <c r="G814"/>
    </row>
    <row r="815" spans="7:7" x14ac:dyDescent="0.3">
      <c r="G815"/>
    </row>
    <row r="816" spans="7:7" x14ac:dyDescent="0.3">
      <c r="G816"/>
    </row>
    <row r="817" spans="7:7" x14ac:dyDescent="0.3">
      <c r="G817"/>
    </row>
    <row r="818" spans="7:7" x14ac:dyDescent="0.3">
      <c r="G818"/>
    </row>
    <row r="819" spans="7:7" x14ac:dyDescent="0.3">
      <c r="G819"/>
    </row>
    <row r="820" spans="7:7" x14ac:dyDescent="0.3">
      <c r="G820"/>
    </row>
    <row r="821" spans="7:7" x14ac:dyDescent="0.3">
      <c r="G821"/>
    </row>
    <row r="822" spans="7:7" x14ac:dyDescent="0.3">
      <c r="G822"/>
    </row>
    <row r="823" spans="7:7" x14ac:dyDescent="0.3">
      <c r="G823"/>
    </row>
    <row r="824" spans="7:7" x14ac:dyDescent="0.3">
      <c r="G824"/>
    </row>
    <row r="825" spans="7:7" x14ac:dyDescent="0.3">
      <c r="G825"/>
    </row>
    <row r="826" spans="7:7" x14ac:dyDescent="0.3">
      <c r="G826"/>
    </row>
    <row r="827" spans="7:7" x14ac:dyDescent="0.3">
      <c r="G827"/>
    </row>
    <row r="828" spans="7:7" x14ac:dyDescent="0.3">
      <c r="G828"/>
    </row>
    <row r="829" spans="7:7" x14ac:dyDescent="0.3">
      <c r="G829"/>
    </row>
    <row r="830" spans="7:7" x14ac:dyDescent="0.3">
      <c r="G830"/>
    </row>
    <row r="831" spans="7:7" x14ac:dyDescent="0.3">
      <c r="G831"/>
    </row>
    <row r="832" spans="7:7" x14ac:dyDescent="0.3">
      <c r="G832"/>
    </row>
    <row r="833" spans="7:7" x14ac:dyDescent="0.3">
      <c r="G833"/>
    </row>
    <row r="834" spans="7:7" x14ac:dyDescent="0.3">
      <c r="G834"/>
    </row>
    <row r="835" spans="7:7" x14ac:dyDescent="0.3">
      <c r="G835"/>
    </row>
    <row r="836" spans="7:7" x14ac:dyDescent="0.3">
      <c r="G836"/>
    </row>
    <row r="837" spans="7:7" x14ac:dyDescent="0.3">
      <c r="G837"/>
    </row>
    <row r="838" spans="7:7" x14ac:dyDescent="0.3">
      <c r="G838"/>
    </row>
    <row r="839" spans="7:7" x14ac:dyDescent="0.3">
      <c r="G839"/>
    </row>
    <row r="840" spans="7:7" x14ac:dyDescent="0.3">
      <c r="G840"/>
    </row>
    <row r="841" spans="7:7" x14ac:dyDescent="0.3">
      <c r="G841"/>
    </row>
    <row r="842" spans="7:7" x14ac:dyDescent="0.3">
      <c r="G842"/>
    </row>
    <row r="843" spans="7:7" x14ac:dyDescent="0.3">
      <c r="G843"/>
    </row>
    <row r="844" spans="7:7" x14ac:dyDescent="0.3">
      <c r="G844"/>
    </row>
    <row r="845" spans="7:7" x14ac:dyDescent="0.3">
      <c r="G845"/>
    </row>
    <row r="846" spans="7:7" x14ac:dyDescent="0.3">
      <c r="G846"/>
    </row>
    <row r="847" spans="7:7" x14ac:dyDescent="0.3">
      <c r="G847"/>
    </row>
    <row r="848" spans="7:7" x14ac:dyDescent="0.3">
      <c r="G848"/>
    </row>
    <row r="849" spans="7:7" x14ac:dyDescent="0.3">
      <c r="G849"/>
    </row>
    <row r="850" spans="7:7" x14ac:dyDescent="0.3">
      <c r="G850"/>
    </row>
    <row r="851" spans="7:7" x14ac:dyDescent="0.3">
      <c r="G851"/>
    </row>
    <row r="852" spans="7:7" x14ac:dyDescent="0.3">
      <c r="G852"/>
    </row>
    <row r="853" spans="7:7" x14ac:dyDescent="0.3">
      <c r="G853"/>
    </row>
    <row r="854" spans="7:7" x14ac:dyDescent="0.3">
      <c r="G854"/>
    </row>
    <row r="855" spans="7:7" x14ac:dyDescent="0.3">
      <c r="G855"/>
    </row>
    <row r="856" spans="7:7" x14ac:dyDescent="0.3">
      <c r="G856"/>
    </row>
    <row r="857" spans="7:7" x14ac:dyDescent="0.3">
      <c r="G857"/>
    </row>
    <row r="858" spans="7:7" x14ac:dyDescent="0.3">
      <c r="G858"/>
    </row>
    <row r="859" spans="7:7" x14ac:dyDescent="0.3">
      <c r="G859"/>
    </row>
    <row r="860" spans="7:7" x14ac:dyDescent="0.3">
      <c r="G860"/>
    </row>
    <row r="861" spans="7:7" x14ac:dyDescent="0.3">
      <c r="G861"/>
    </row>
    <row r="862" spans="7:7" x14ac:dyDescent="0.3">
      <c r="G862"/>
    </row>
    <row r="863" spans="7:7" x14ac:dyDescent="0.3">
      <c r="G863"/>
    </row>
    <row r="864" spans="7:7" x14ac:dyDescent="0.3">
      <c r="G864"/>
    </row>
    <row r="865" spans="7:7" x14ac:dyDescent="0.3">
      <c r="G865"/>
    </row>
    <row r="866" spans="7:7" x14ac:dyDescent="0.3">
      <c r="G866"/>
    </row>
    <row r="867" spans="7:7" x14ac:dyDescent="0.3">
      <c r="G867"/>
    </row>
    <row r="868" spans="7:7" x14ac:dyDescent="0.3">
      <c r="G868"/>
    </row>
    <row r="869" spans="7:7" x14ac:dyDescent="0.3">
      <c r="G869"/>
    </row>
    <row r="870" spans="7:7" x14ac:dyDescent="0.3">
      <c r="G870"/>
    </row>
    <row r="871" spans="7:7" x14ac:dyDescent="0.3">
      <c r="G871"/>
    </row>
    <row r="872" spans="7:7" x14ac:dyDescent="0.3">
      <c r="G872"/>
    </row>
    <row r="873" spans="7:7" x14ac:dyDescent="0.3">
      <c r="G873"/>
    </row>
    <row r="874" spans="7:7" x14ac:dyDescent="0.3">
      <c r="G874"/>
    </row>
    <row r="875" spans="7:7" x14ac:dyDescent="0.3">
      <c r="G875"/>
    </row>
    <row r="876" spans="7:7" x14ac:dyDescent="0.3">
      <c r="G876"/>
    </row>
    <row r="877" spans="7:7" x14ac:dyDescent="0.3">
      <c r="G877"/>
    </row>
    <row r="878" spans="7:7" x14ac:dyDescent="0.3">
      <c r="G878"/>
    </row>
    <row r="879" spans="7:7" x14ac:dyDescent="0.3">
      <c r="G879"/>
    </row>
    <row r="880" spans="7:7" x14ac:dyDescent="0.3">
      <c r="G880"/>
    </row>
    <row r="881" spans="7:7" x14ac:dyDescent="0.3">
      <c r="G881"/>
    </row>
    <row r="882" spans="7:7" x14ac:dyDescent="0.3">
      <c r="G882"/>
    </row>
    <row r="883" spans="7:7" x14ac:dyDescent="0.3">
      <c r="G883"/>
    </row>
    <row r="884" spans="7:7" x14ac:dyDescent="0.3">
      <c r="G884"/>
    </row>
    <row r="885" spans="7:7" x14ac:dyDescent="0.3">
      <c r="G885"/>
    </row>
    <row r="886" spans="7:7" x14ac:dyDescent="0.3">
      <c r="G886"/>
    </row>
    <row r="887" spans="7:7" x14ac:dyDescent="0.3">
      <c r="G887"/>
    </row>
    <row r="888" spans="7:7" x14ac:dyDescent="0.3">
      <c r="G888"/>
    </row>
    <row r="889" spans="7:7" x14ac:dyDescent="0.3">
      <c r="G889"/>
    </row>
    <row r="890" spans="7:7" x14ac:dyDescent="0.3">
      <c r="G890"/>
    </row>
    <row r="891" spans="7:7" x14ac:dyDescent="0.3">
      <c r="G891"/>
    </row>
    <row r="892" spans="7:7" x14ac:dyDescent="0.3">
      <c r="G892"/>
    </row>
    <row r="893" spans="7:7" x14ac:dyDescent="0.3">
      <c r="G893"/>
    </row>
    <row r="894" spans="7:7" x14ac:dyDescent="0.3">
      <c r="G894"/>
    </row>
    <row r="895" spans="7:7" x14ac:dyDescent="0.3">
      <c r="G895"/>
    </row>
    <row r="896" spans="7:7" x14ac:dyDescent="0.3">
      <c r="G896"/>
    </row>
    <row r="897" spans="7:7" x14ac:dyDescent="0.3">
      <c r="G897"/>
    </row>
    <row r="898" spans="7:7" x14ac:dyDescent="0.3">
      <c r="G898"/>
    </row>
    <row r="899" spans="7:7" x14ac:dyDescent="0.3">
      <c r="G899"/>
    </row>
    <row r="900" spans="7:7" x14ac:dyDescent="0.3">
      <c r="G900"/>
    </row>
    <row r="901" spans="7:7" x14ac:dyDescent="0.3">
      <c r="G901"/>
    </row>
    <row r="902" spans="7:7" x14ac:dyDescent="0.3">
      <c r="G902"/>
    </row>
    <row r="903" spans="7:7" x14ac:dyDescent="0.3">
      <c r="G903"/>
    </row>
    <row r="904" spans="7:7" x14ac:dyDescent="0.3">
      <c r="G904"/>
    </row>
    <row r="905" spans="7:7" x14ac:dyDescent="0.3">
      <c r="G905"/>
    </row>
    <row r="906" spans="7:7" x14ac:dyDescent="0.3">
      <c r="G906"/>
    </row>
    <row r="907" spans="7:7" x14ac:dyDescent="0.3">
      <c r="G907"/>
    </row>
    <row r="908" spans="7:7" x14ac:dyDescent="0.3">
      <c r="G908"/>
    </row>
    <row r="909" spans="7:7" x14ac:dyDescent="0.3">
      <c r="G909"/>
    </row>
    <row r="910" spans="7:7" x14ac:dyDescent="0.3">
      <c r="G910"/>
    </row>
    <row r="911" spans="7:7" x14ac:dyDescent="0.3">
      <c r="G911"/>
    </row>
    <row r="912" spans="7:7" x14ac:dyDescent="0.3">
      <c r="G912"/>
    </row>
    <row r="913" spans="7:7" x14ac:dyDescent="0.3">
      <c r="G913"/>
    </row>
    <row r="914" spans="7:7" x14ac:dyDescent="0.3">
      <c r="G914"/>
    </row>
    <row r="915" spans="7:7" x14ac:dyDescent="0.3">
      <c r="G915"/>
    </row>
    <row r="916" spans="7:7" x14ac:dyDescent="0.3">
      <c r="G916"/>
    </row>
    <row r="917" spans="7:7" x14ac:dyDescent="0.3">
      <c r="G917"/>
    </row>
    <row r="918" spans="7:7" x14ac:dyDescent="0.3">
      <c r="G918"/>
    </row>
    <row r="919" spans="7:7" x14ac:dyDescent="0.3">
      <c r="G919"/>
    </row>
    <row r="920" spans="7:7" x14ac:dyDescent="0.3">
      <c r="G920"/>
    </row>
    <row r="921" spans="7:7" x14ac:dyDescent="0.3">
      <c r="G921"/>
    </row>
    <row r="922" spans="7:7" x14ac:dyDescent="0.3">
      <c r="G922"/>
    </row>
    <row r="923" spans="7:7" x14ac:dyDescent="0.3">
      <c r="G923"/>
    </row>
    <row r="924" spans="7:7" x14ac:dyDescent="0.3">
      <c r="G924"/>
    </row>
    <row r="925" spans="7:7" x14ac:dyDescent="0.3">
      <c r="G925"/>
    </row>
    <row r="926" spans="7:7" x14ac:dyDescent="0.3">
      <c r="G926"/>
    </row>
    <row r="927" spans="7:7" x14ac:dyDescent="0.3">
      <c r="G927"/>
    </row>
    <row r="928" spans="7:7" x14ac:dyDescent="0.3">
      <c r="G928"/>
    </row>
    <row r="929" spans="7:7" x14ac:dyDescent="0.3">
      <c r="G929"/>
    </row>
    <row r="930" spans="7:7" x14ac:dyDescent="0.3">
      <c r="G930"/>
    </row>
    <row r="931" spans="7:7" x14ac:dyDescent="0.3">
      <c r="G931"/>
    </row>
    <row r="932" spans="7:7" x14ac:dyDescent="0.3">
      <c r="G932"/>
    </row>
    <row r="933" spans="7:7" x14ac:dyDescent="0.3">
      <c r="G933"/>
    </row>
    <row r="934" spans="7:7" x14ac:dyDescent="0.3">
      <c r="G934"/>
    </row>
    <row r="935" spans="7:7" x14ac:dyDescent="0.3">
      <c r="G935"/>
    </row>
    <row r="936" spans="7:7" x14ac:dyDescent="0.3">
      <c r="G936"/>
    </row>
    <row r="937" spans="7:7" x14ac:dyDescent="0.3">
      <c r="G937"/>
    </row>
    <row r="938" spans="7:7" x14ac:dyDescent="0.3">
      <c r="G938"/>
    </row>
    <row r="939" spans="7:7" x14ac:dyDescent="0.3">
      <c r="G939"/>
    </row>
    <row r="940" spans="7:7" x14ac:dyDescent="0.3">
      <c r="G940"/>
    </row>
    <row r="941" spans="7:7" x14ac:dyDescent="0.3">
      <c r="G941"/>
    </row>
    <row r="942" spans="7:7" x14ac:dyDescent="0.3">
      <c r="G942"/>
    </row>
    <row r="943" spans="7:7" x14ac:dyDescent="0.3">
      <c r="G943"/>
    </row>
    <row r="944" spans="7:7" x14ac:dyDescent="0.3">
      <c r="G944"/>
    </row>
    <row r="945" spans="7:7" x14ac:dyDescent="0.3">
      <c r="G945"/>
    </row>
    <row r="946" spans="7:7" x14ac:dyDescent="0.3">
      <c r="G946"/>
    </row>
    <row r="947" spans="7:7" x14ac:dyDescent="0.3">
      <c r="G947"/>
    </row>
    <row r="948" spans="7:7" x14ac:dyDescent="0.3">
      <c r="G948"/>
    </row>
    <row r="949" spans="7:7" x14ac:dyDescent="0.3">
      <c r="G949"/>
    </row>
    <row r="950" spans="7:7" x14ac:dyDescent="0.3">
      <c r="G950"/>
    </row>
    <row r="951" spans="7:7" x14ac:dyDescent="0.3">
      <c r="G951"/>
    </row>
    <row r="952" spans="7:7" x14ac:dyDescent="0.3">
      <c r="G952"/>
    </row>
    <row r="953" spans="7:7" x14ac:dyDescent="0.3">
      <c r="G953"/>
    </row>
    <row r="954" spans="7:7" x14ac:dyDescent="0.3">
      <c r="G954"/>
    </row>
    <row r="955" spans="7:7" x14ac:dyDescent="0.3">
      <c r="G955"/>
    </row>
    <row r="956" spans="7:7" x14ac:dyDescent="0.3">
      <c r="G956"/>
    </row>
    <row r="957" spans="7:7" x14ac:dyDescent="0.3">
      <c r="G957"/>
    </row>
    <row r="958" spans="7:7" x14ac:dyDescent="0.3">
      <c r="G958"/>
    </row>
    <row r="959" spans="7:7" x14ac:dyDescent="0.3">
      <c r="G959"/>
    </row>
    <row r="960" spans="7:7" x14ac:dyDescent="0.3">
      <c r="G960"/>
    </row>
    <row r="961" spans="7:7" x14ac:dyDescent="0.3">
      <c r="G961"/>
    </row>
    <row r="962" spans="7:7" x14ac:dyDescent="0.3">
      <c r="G962"/>
    </row>
    <row r="963" spans="7:7" x14ac:dyDescent="0.3">
      <c r="G963"/>
    </row>
    <row r="964" spans="7:7" x14ac:dyDescent="0.3">
      <c r="G964"/>
    </row>
    <row r="965" spans="7:7" x14ac:dyDescent="0.3">
      <c r="G965"/>
    </row>
    <row r="966" spans="7:7" x14ac:dyDescent="0.3">
      <c r="G966"/>
    </row>
    <row r="967" spans="7:7" x14ac:dyDescent="0.3">
      <c r="G967"/>
    </row>
    <row r="968" spans="7:7" x14ac:dyDescent="0.3">
      <c r="G968"/>
    </row>
    <row r="969" spans="7:7" x14ac:dyDescent="0.3">
      <c r="G969"/>
    </row>
    <row r="970" spans="7:7" x14ac:dyDescent="0.3">
      <c r="G970"/>
    </row>
    <row r="971" spans="7:7" x14ac:dyDescent="0.3">
      <c r="G971"/>
    </row>
    <row r="972" spans="7:7" x14ac:dyDescent="0.3">
      <c r="G972"/>
    </row>
    <row r="973" spans="7:7" x14ac:dyDescent="0.3">
      <c r="G973"/>
    </row>
    <row r="974" spans="7:7" x14ac:dyDescent="0.3">
      <c r="G974"/>
    </row>
    <row r="975" spans="7:7" x14ac:dyDescent="0.3">
      <c r="G975"/>
    </row>
    <row r="976" spans="7:7" x14ac:dyDescent="0.3">
      <c r="G976"/>
    </row>
    <row r="977" spans="7:7" x14ac:dyDescent="0.3">
      <c r="G977"/>
    </row>
    <row r="978" spans="7:7" x14ac:dyDescent="0.3">
      <c r="G978"/>
    </row>
    <row r="979" spans="7:7" x14ac:dyDescent="0.3">
      <c r="G979"/>
    </row>
    <row r="980" spans="7:7" x14ac:dyDescent="0.3">
      <c r="G980"/>
    </row>
    <row r="981" spans="7:7" x14ac:dyDescent="0.3">
      <c r="G981"/>
    </row>
    <row r="982" spans="7:7" x14ac:dyDescent="0.3">
      <c r="G982"/>
    </row>
    <row r="983" spans="7:7" x14ac:dyDescent="0.3">
      <c r="G983"/>
    </row>
    <row r="984" spans="7:7" x14ac:dyDescent="0.3">
      <c r="G984"/>
    </row>
    <row r="985" spans="7:7" x14ac:dyDescent="0.3">
      <c r="G985"/>
    </row>
    <row r="986" spans="7:7" x14ac:dyDescent="0.3">
      <c r="G986"/>
    </row>
    <row r="987" spans="7:7" x14ac:dyDescent="0.3">
      <c r="G987"/>
    </row>
    <row r="988" spans="7:7" x14ac:dyDescent="0.3">
      <c r="G988"/>
    </row>
    <row r="989" spans="7:7" x14ac:dyDescent="0.3">
      <c r="G989"/>
    </row>
    <row r="990" spans="7:7" x14ac:dyDescent="0.3">
      <c r="G990"/>
    </row>
    <row r="991" spans="7:7" x14ac:dyDescent="0.3">
      <c r="G991"/>
    </row>
    <row r="992" spans="7:7" x14ac:dyDescent="0.3">
      <c r="G992"/>
    </row>
    <row r="993" spans="7:7" x14ac:dyDescent="0.3">
      <c r="G993"/>
    </row>
    <row r="994" spans="7:7" x14ac:dyDescent="0.3">
      <c r="G994"/>
    </row>
    <row r="995" spans="7:7" x14ac:dyDescent="0.3">
      <c r="G995"/>
    </row>
    <row r="996" spans="7:7" x14ac:dyDescent="0.3">
      <c r="G996"/>
    </row>
    <row r="997" spans="7:7" x14ac:dyDescent="0.3">
      <c r="G997"/>
    </row>
    <row r="998" spans="7:7" x14ac:dyDescent="0.3">
      <c r="G998"/>
    </row>
    <row r="999" spans="7:7" x14ac:dyDescent="0.3">
      <c r="G999"/>
    </row>
    <row r="1000" spans="7:7" x14ac:dyDescent="0.3">
      <c r="G1000"/>
    </row>
    <row r="1001" spans="7:7" x14ac:dyDescent="0.3">
      <c r="G1001"/>
    </row>
    <row r="1002" spans="7:7" x14ac:dyDescent="0.3">
      <c r="G1002"/>
    </row>
    <row r="1003" spans="7:7" x14ac:dyDescent="0.3">
      <c r="G1003"/>
    </row>
    <row r="1004" spans="7:7" x14ac:dyDescent="0.3">
      <c r="G1004"/>
    </row>
    <row r="1005" spans="7:7" x14ac:dyDescent="0.3">
      <c r="G1005"/>
    </row>
    <row r="1006" spans="7:7" x14ac:dyDescent="0.3">
      <c r="G1006"/>
    </row>
    <row r="1007" spans="7:7" x14ac:dyDescent="0.3">
      <c r="G1007"/>
    </row>
    <row r="1008" spans="7:7" x14ac:dyDescent="0.3">
      <c r="G1008"/>
    </row>
    <row r="1009" spans="7:7" x14ac:dyDescent="0.3">
      <c r="G1009"/>
    </row>
    <row r="1010" spans="7:7" x14ac:dyDescent="0.3">
      <c r="G1010"/>
    </row>
    <row r="1011" spans="7:7" x14ac:dyDescent="0.3">
      <c r="G1011"/>
    </row>
    <row r="1012" spans="7:7" x14ac:dyDescent="0.3">
      <c r="G1012"/>
    </row>
    <row r="1013" spans="7:7" x14ac:dyDescent="0.3">
      <c r="G1013"/>
    </row>
    <row r="1014" spans="7:7" x14ac:dyDescent="0.3">
      <c r="G1014"/>
    </row>
    <row r="1015" spans="7:7" x14ac:dyDescent="0.3">
      <c r="G1015"/>
    </row>
    <row r="1016" spans="7:7" x14ac:dyDescent="0.3">
      <c r="G1016"/>
    </row>
    <row r="1017" spans="7:7" x14ac:dyDescent="0.3">
      <c r="G1017"/>
    </row>
    <row r="1018" spans="7:7" x14ac:dyDescent="0.3">
      <c r="G1018"/>
    </row>
    <row r="1019" spans="7:7" x14ac:dyDescent="0.3">
      <c r="G1019"/>
    </row>
    <row r="1020" spans="7:7" x14ac:dyDescent="0.3">
      <c r="G1020"/>
    </row>
    <row r="1021" spans="7:7" x14ac:dyDescent="0.3">
      <c r="G1021"/>
    </row>
    <row r="1022" spans="7:7" x14ac:dyDescent="0.3">
      <c r="G1022"/>
    </row>
    <row r="1023" spans="7:7" x14ac:dyDescent="0.3">
      <c r="G1023"/>
    </row>
    <row r="1024" spans="7:7" x14ac:dyDescent="0.3">
      <c r="G1024"/>
    </row>
    <row r="1025" spans="7:7" x14ac:dyDescent="0.3">
      <c r="G1025"/>
    </row>
    <row r="1026" spans="7:7" x14ac:dyDescent="0.3">
      <c r="G1026"/>
    </row>
    <row r="1027" spans="7:7" x14ac:dyDescent="0.3">
      <c r="G1027"/>
    </row>
    <row r="1028" spans="7:7" x14ac:dyDescent="0.3">
      <c r="G1028"/>
    </row>
    <row r="1029" spans="7:7" x14ac:dyDescent="0.3">
      <c r="G1029"/>
    </row>
    <row r="1030" spans="7:7" x14ac:dyDescent="0.3">
      <c r="G1030"/>
    </row>
    <row r="1031" spans="7:7" x14ac:dyDescent="0.3">
      <c r="G1031"/>
    </row>
    <row r="1032" spans="7:7" x14ac:dyDescent="0.3">
      <c r="G1032"/>
    </row>
    <row r="1033" spans="7:7" x14ac:dyDescent="0.3">
      <c r="G1033"/>
    </row>
    <row r="1034" spans="7:7" x14ac:dyDescent="0.3">
      <c r="G1034"/>
    </row>
    <row r="1035" spans="7:7" x14ac:dyDescent="0.3">
      <c r="G1035"/>
    </row>
    <row r="1036" spans="7:7" x14ac:dyDescent="0.3">
      <c r="G1036"/>
    </row>
    <row r="1037" spans="7:7" x14ac:dyDescent="0.3">
      <c r="G1037"/>
    </row>
    <row r="1038" spans="7:7" x14ac:dyDescent="0.3">
      <c r="G1038"/>
    </row>
    <row r="1039" spans="7:7" x14ac:dyDescent="0.3">
      <c r="G1039"/>
    </row>
    <row r="1040" spans="7:7" x14ac:dyDescent="0.3">
      <c r="G1040"/>
    </row>
    <row r="1041" spans="7:7" x14ac:dyDescent="0.3">
      <c r="G1041"/>
    </row>
    <row r="1042" spans="7:7" x14ac:dyDescent="0.3">
      <c r="G1042"/>
    </row>
    <row r="1043" spans="7:7" x14ac:dyDescent="0.3">
      <c r="G1043"/>
    </row>
    <row r="1044" spans="7:7" x14ac:dyDescent="0.3">
      <c r="G1044"/>
    </row>
    <row r="1045" spans="7:7" x14ac:dyDescent="0.3">
      <c r="G1045"/>
    </row>
    <row r="1046" spans="7:7" x14ac:dyDescent="0.3">
      <c r="G1046"/>
    </row>
    <row r="1047" spans="7:7" x14ac:dyDescent="0.3">
      <c r="G1047"/>
    </row>
    <row r="1048" spans="7:7" x14ac:dyDescent="0.3">
      <c r="G1048"/>
    </row>
    <row r="1049" spans="7:7" x14ac:dyDescent="0.3">
      <c r="G1049"/>
    </row>
    <row r="1050" spans="7:7" x14ac:dyDescent="0.3">
      <c r="G1050"/>
    </row>
    <row r="1051" spans="7:7" x14ac:dyDescent="0.3">
      <c r="G1051"/>
    </row>
    <row r="1052" spans="7:7" x14ac:dyDescent="0.3">
      <c r="G1052"/>
    </row>
    <row r="1053" spans="7:7" x14ac:dyDescent="0.3">
      <c r="G1053"/>
    </row>
    <row r="1054" spans="7:7" x14ac:dyDescent="0.3">
      <c r="G1054"/>
    </row>
    <row r="1055" spans="7:7" x14ac:dyDescent="0.3">
      <c r="G1055"/>
    </row>
    <row r="1056" spans="7:7" x14ac:dyDescent="0.3">
      <c r="G1056"/>
    </row>
    <row r="1057" spans="7:7" x14ac:dyDescent="0.3">
      <c r="G1057"/>
    </row>
    <row r="1058" spans="7:7" x14ac:dyDescent="0.3">
      <c r="G1058"/>
    </row>
    <row r="1059" spans="7:7" x14ac:dyDescent="0.3">
      <c r="G1059"/>
    </row>
    <row r="1060" spans="7:7" x14ac:dyDescent="0.3">
      <c r="G1060"/>
    </row>
    <row r="1061" spans="7:7" x14ac:dyDescent="0.3">
      <c r="G1061"/>
    </row>
    <row r="1062" spans="7:7" x14ac:dyDescent="0.3">
      <c r="G1062"/>
    </row>
    <row r="1063" spans="7:7" x14ac:dyDescent="0.3">
      <c r="G1063"/>
    </row>
    <row r="1064" spans="7:7" x14ac:dyDescent="0.3">
      <c r="G1064"/>
    </row>
    <row r="1065" spans="7:7" x14ac:dyDescent="0.3">
      <c r="G1065"/>
    </row>
    <row r="1066" spans="7:7" x14ac:dyDescent="0.3">
      <c r="G1066"/>
    </row>
    <row r="1067" spans="7:7" x14ac:dyDescent="0.3">
      <c r="G1067"/>
    </row>
    <row r="1068" spans="7:7" x14ac:dyDescent="0.3">
      <c r="G1068"/>
    </row>
    <row r="1069" spans="7:7" x14ac:dyDescent="0.3">
      <c r="G1069"/>
    </row>
    <row r="1070" spans="7:7" x14ac:dyDescent="0.3">
      <c r="G1070"/>
    </row>
    <row r="1071" spans="7:7" x14ac:dyDescent="0.3">
      <c r="G1071"/>
    </row>
    <row r="1072" spans="7:7" x14ac:dyDescent="0.3">
      <c r="G1072"/>
    </row>
    <row r="1073" spans="7:7" x14ac:dyDescent="0.3">
      <c r="G1073"/>
    </row>
    <row r="1074" spans="7:7" x14ac:dyDescent="0.3">
      <c r="G1074"/>
    </row>
    <row r="1075" spans="7:7" x14ac:dyDescent="0.3">
      <c r="G1075"/>
    </row>
    <row r="1076" spans="7:7" x14ac:dyDescent="0.3">
      <c r="G1076"/>
    </row>
    <row r="1077" spans="7:7" x14ac:dyDescent="0.3">
      <c r="G1077"/>
    </row>
    <row r="1078" spans="7:7" x14ac:dyDescent="0.3">
      <c r="G1078"/>
    </row>
    <row r="1079" spans="7:7" x14ac:dyDescent="0.3">
      <c r="G1079"/>
    </row>
    <row r="1080" spans="7:7" x14ac:dyDescent="0.3">
      <c r="G1080"/>
    </row>
    <row r="1081" spans="7:7" x14ac:dyDescent="0.3">
      <c r="G1081"/>
    </row>
    <row r="1082" spans="7:7" x14ac:dyDescent="0.3">
      <c r="G1082"/>
    </row>
    <row r="1083" spans="7:7" x14ac:dyDescent="0.3">
      <c r="G1083"/>
    </row>
    <row r="1084" spans="7:7" x14ac:dyDescent="0.3">
      <c r="G1084"/>
    </row>
    <row r="1085" spans="7:7" x14ac:dyDescent="0.3">
      <c r="G1085"/>
    </row>
    <row r="1086" spans="7:7" x14ac:dyDescent="0.3">
      <c r="G1086"/>
    </row>
    <row r="1087" spans="7:7" x14ac:dyDescent="0.3">
      <c r="G1087"/>
    </row>
    <row r="1088" spans="7:7" x14ac:dyDescent="0.3">
      <c r="G1088"/>
    </row>
    <row r="1089" spans="7:7" x14ac:dyDescent="0.3">
      <c r="G1089"/>
    </row>
    <row r="1090" spans="7:7" x14ac:dyDescent="0.3">
      <c r="G1090"/>
    </row>
    <row r="1091" spans="7:7" x14ac:dyDescent="0.3">
      <c r="G1091"/>
    </row>
    <row r="1092" spans="7:7" x14ac:dyDescent="0.3">
      <c r="G1092"/>
    </row>
    <row r="1093" spans="7:7" x14ac:dyDescent="0.3">
      <c r="G1093"/>
    </row>
    <row r="1094" spans="7:7" x14ac:dyDescent="0.3">
      <c r="G1094"/>
    </row>
    <row r="1095" spans="7:7" x14ac:dyDescent="0.3">
      <c r="G1095"/>
    </row>
    <row r="1096" spans="7:7" x14ac:dyDescent="0.3">
      <c r="G1096"/>
    </row>
    <row r="1097" spans="7:7" x14ac:dyDescent="0.3">
      <c r="G1097"/>
    </row>
    <row r="1098" spans="7:7" x14ac:dyDescent="0.3">
      <c r="G1098"/>
    </row>
    <row r="1099" spans="7:7" x14ac:dyDescent="0.3">
      <c r="G1099"/>
    </row>
    <row r="1100" spans="7:7" x14ac:dyDescent="0.3">
      <c r="G1100"/>
    </row>
    <row r="1101" spans="7:7" x14ac:dyDescent="0.3">
      <c r="G1101"/>
    </row>
    <row r="1102" spans="7:7" x14ac:dyDescent="0.3">
      <c r="G1102"/>
    </row>
    <row r="1103" spans="7:7" x14ac:dyDescent="0.3">
      <c r="G1103"/>
    </row>
    <row r="1104" spans="7:7" x14ac:dyDescent="0.3">
      <c r="G1104"/>
    </row>
    <row r="1105" spans="7:7" x14ac:dyDescent="0.3">
      <c r="G1105"/>
    </row>
    <row r="1106" spans="7:7" x14ac:dyDescent="0.3">
      <c r="G1106"/>
    </row>
    <row r="1107" spans="7:7" x14ac:dyDescent="0.3">
      <c r="G1107"/>
    </row>
    <row r="1108" spans="7:7" x14ac:dyDescent="0.3">
      <c r="G1108"/>
    </row>
    <row r="1109" spans="7:7" x14ac:dyDescent="0.3">
      <c r="G1109"/>
    </row>
    <row r="1110" spans="7:7" x14ac:dyDescent="0.3">
      <c r="G1110"/>
    </row>
    <row r="1111" spans="7:7" x14ac:dyDescent="0.3">
      <c r="G1111"/>
    </row>
    <row r="1112" spans="7:7" x14ac:dyDescent="0.3">
      <c r="G1112"/>
    </row>
    <row r="1113" spans="7:7" x14ac:dyDescent="0.3">
      <c r="G1113"/>
    </row>
    <row r="1114" spans="7:7" x14ac:dyDescent="0.3">
      <c r="G1114"/>
    </row>
    <row r="1115" spans="7:7" x14ac:dyDescent="0.3">
      <c r="G1115"/>
    </row>
    <row r="1116" spans="7:7" x14ac:dyDescent="0.3">
      <c r="G1116"/>
    </row>
    <row r="1117" spans="7:7" x14ac:dyDescent="0.3">
      <c r="G1117"/>
    </row>
    <row r="1118" spans="7:7" x14ac:dyDescent="0.3">
      <c r="G1118"/>
    </row>
    <row r="1119" spans="7:7" x14ac:dyDescent="0.3">
      <c r="G1119"/>
    </row>
    <row r="1120" spans="7:7" x14ac:dyDescent="0.3">
      <c r="G1120"/>
    </row>
    <row r="1121" spans="7:7" x14ac:dyDescent="0.3">
      <c r="G1121"/>
    </row>
    <row r="1122" spans="7:7" x14ac:dyDescent="0.3">
      <c r="G1122"/>
    </row>
    <row r="1123" spans="7:7" x14ac:dyDescent="0.3">
      <c r="G1123"/>
    </row>
    <row r="1124" spans="7:7" x14ac:dyDescent="0.3">
      <c r="G1124"/>
    </row>
    <row r="1125" spans="7:7" x14ac:dyDescent="0.3">
      <c r="G1125"/>
    </row>
    <row r="1126" spans="7:7" x14ac:dyDescent="0.3">
      <c r="G1126"/>
    </row>
    <row r="1127" spans="7:7" x14ac:dyDescent="0.3">
      <c r="G1127"/>
    </row>
    <row r="1128" spans="7:7" x14ac:dyDescent="0.3">
      <c r="G1128"/>
    </row>
    <row r="1129" spans="7:7" x14ac:dyDescent="0.3">
      <c r="G1129"/>
    </row>
    <row r="1130" spans="7:7" x14ac:dyDescent="0.3">
      <c r="G1130"/>
    </row>
    <row r="1131" spans="7:7" x14ac:dyDescent="0.3">
      <c r="G1131"/>
    </row>
    <row r="1132" spans="7:7" x14ac:dyDescent="0.3">
      <c r="G1132"/>
    </row>
    <row r="1133" spans="7:7" x14ac:dyDescent="0.3">
      <c r="G1133"/>
    </row>
    <row r="1134" spans="7:7" x14ac:dyDescent="0.3">
      <c r="G1134"/>
    </row>
    <row r="1135" spans="7:7" x14ac:dyDescent="0.3">
      <c r="G1135"/>
    </row>
    <row r="1136" spans="7:7" x14ac:dyDescent="0.3">
      <c r="G1136"/>
    </row>
    <row r="1137" spans="7:7" x14ac:dyDescent="0.3">
      <c r="G1137"/>
    </row>
    <row r="1138" spans="7:7" x14ac:dyDescent="0.3">
      <c r="G1138"/>
    </row>
    <row r="1139" spans="7:7" x14ac:dyDescent="0.3">
      <c r="G1139"/>
    </row>
    <row r="1140" spans="7:7" x14ac:dyDescent="0.3">
      <c r="G1140"/>
    </row>
    <row r="1141" spans="7:7" x14ac:dyDescent="0.3">
      <c r="G1141"/>
    </row>
    <row r="1142" spans="7:7" x14ac:dyDescent="0.3">
      <c r="G1142"/>
    </row>
    <row r="1143" spans="7:7" x14ac:dyDescent="0.3">
      <c r="G1143"/>
    </row>
    <row r="1144" spans="7:7" x14ac:dyDescent="0.3">
      <c r="G1144"/>
    </row>
    <row r="1145" spans="7:7" x14ac:dyDescent="0.3">
      <c r="G1145"/>
    </row>
    <row r="1146" spans="7:7" x14ac:dyDescent="0.3">
      <c r="G1146"/>
    </row>
    <row r="1147" spans="7:7" x14ac:dyDescent="0.3">
      <c r="G1147"/>
    </row>
    <row r="1148" spans="7:7" x14ac:dyDescent="0.3">
      <c r="G1148"/>
    </row>
    <row r="1149" spans="7:7" x14ac:dyDescent="0.3">
      <c r="G1149"/>
    </row>
    <row r="1150" spans="7:7" x14ac:dyDescent="0.3">
      <c r="G1150"/>
    </row>
    <row r="1151" spans="7:7" x14ac:dyDescent="0.3">
      <c r="G1151"/>
    </row>
    <row r="1152" spans="7:7" x14ac:dyDescent="0.3">
      <c r="G1152"/>
    </row>
    <row r="1153" spans="7:7" x14ac:dyDescent="0.3">
      <c r="G1153"/>
    </row>
    <row r="1154" spans="7:7" x14ac:dyDescent="0.3">
      <c r="G1154"/>
    </row>
    <row r="1155" spans="7:7" x14ac:dyDescent="0.3">
      <c r="G1155"/>
    </row>
    <row r="1156" spans="7:7" x14ac:dyDescent="0.3">
      <c r="G1156"/>
    </row>
    <row r="1157" spans="7:7" x14ac:dyDescent="0.3">
      <c r="G1157"/>
    </row>
    <row r="1158" spans="7:7" x14ac:dyDescent="0.3">
      <c r="G1158"/>
    </row>
    <row r="1159" spans="7:7" x14ac:dyDescent="0.3">
      <c r="G1159"/>
    </row>
    <row r="1160" spans="7:7" x14ac:dyDescent="0.3">
      <c r="G1160"/>
    </row>
    <row r="1161" spans="7:7" x14ac:dyDescent="0.3">
      <c r="G1161"/>
    </row>
    <row r="1162" spans="7:7" x14ac:dyDescent="0.3">
      <c r="G1162"/>
    </row>
    <row r="1163" spans="7:7" x14ac:dyDescent="0.3">
      <c r="G1163"/>
    </row>
    <row r="1164" spans="7:7" x14ac:dyDescent="0.3">
      <c r="G1164"/>
    </row>
    <row r="1165" spans="7:7" x14ac:dyDescent="0.3">
      <c r="G1165"/>
    </row>
    <row r="1166" spans="7:7" x14ac:dyDescent="0.3">
      <c r="G1166"/>
    </row>
    <row r="1167" spans="7:7" x14ac:dyDescent="0.3">
      <c r="G1167"/>
    </row>
    <row r="1168" spans="7:7" x14ac:dyDescent="0.3">
      <c r="G1168"/>
    </row>
    <row r="1169" spans="7:7" x14ac:dyDescent="0.3">
      <c r="G1169"/>
    </row>
    <row r="1170" spans="7:7" x14ac:dyDescent="0.3">
      <c r="G1170"/>
    </row>
    <row r="1171" spans="7:7" x14ac:dyDescent="0.3">
      <c r="G1171"/>
    </row>
    <row r="1172" spans="7:7" x14ac:dyDescent="0.3">
      <c r="G1172"/>
    </row>
    <row r="1173" spans="7:7" x14ac:dyDescent="0.3">
      <c r="G1173"/>
    </row>
    <row r="1174" spans="7:7" x14ac:dyDescent="0.3">
      <c r="G1174"/>
    </row>
    <row r="1175" spans="7:7" x14ac:dyDescent="0.3">
      <c r="G1175"/>
    </row>
    <row r="1176" spans="7:7" x14ac:dyDescent="0.3">
      <c r="G1176"/>
    </row>
    <row r="1177" spans="7:7" x14ac:dyDescent="0.3">
      <c r="G1177"/>
    </row>
    <row r="1178" spans="7:7" x14ac:dyDescent="0.3">
      <c r="G1178"/>
    </row>
    <row r="1179" spans="7:7" x14ac:dyDescent="0.3">
      <c r="G1179"/>
    </row>
    <row r="1180" spans="7:7" x14ac:dyDescent="0.3">
      <c r="G1180"/>
    </row>
    <row r="1181" spans="7:7" x14ac:dyDescent="0.3">
      <c r="G1181"/>
    </row>
    <row r="1182" spans="7:7" x14ac:dyDescent="0.3">
      <c r="G1182"/>
    </row>
    <row r="1183" spans="7:7" x14ac:dyDescent="0.3">
      <c r="G1183"/>
    </row>
    <row r="1184" spans="7:7" x14ac:dyDescent="0.3">
      <c r="G1184"/>
    </row>
    <row r="1185" spans="7:7" x14ac:dyDescent="0.3">
      <c r="G1185"/>
    </row>
    <row r="1186" spans="7:7" x14ac:dyDescent="0.3">
      <c r="G1186"/>
    </row>
    <row r="1187" spans="7:7" x14ac:dyDescent="0.3">
      <c r="G1187"/>
    </row>
    <row r="1188" spans="7:7" x14ac:dyDescent="0.3">
      <c r="G1188"/>
    </row>
    <row r="1189" spans="7:7" x14ac:dyDescent="0.3">
      <c r="G1189"/>
    </row>
    <row r="1190" spans="7:7" x14ac:dyDescent="0.3">
      <c r="G1190"/>
    </row>
    <row r="1191" spans="7:7" x14ac:dyDescent="0.3">
      <c r="G1191"/>
    </row>
    <row r="1192" spans="7:7" x14ac:dyDescent="0.3">
      <c r="G1192"/>
    </row>
    <row r="1193" spans="7:7" x14ac:dyDescent="0.3">
      <c r="G1193"/>
    </row>
    <row r="1194" spans="7:7" x14ac:dyDescent="0.3">
      <c r="G1194"/>
    </row>
    <row r="1195" spans="7:7" x14ac:dyDescent="0.3">
      <c r="G1195"/>
    </row>
    <row r="1196" spans="7:7" x14ac:dyDescent="0.3">
      <c r="G1196"/>
    </row>
    <row r="1197" spans="7:7" x14ac:dyDescent="0.3">
      <c r="G1197"/>
    </row>
    <row r="1198" spans="7:7" x14ac:dyDescent="0.3">
      <c r="G1198"/>
    </row>
    <row r="1199" spans="7:7" x14ac:dyDescent="0.3">
      <c r="G1199"/>
    </row>
    <row r="1200" spans="7:7" x14ac:dyDescent="0.3">
      <c r="G1200"/>
    </row>
    <row r="1201" spans="7:7" x14ac:dyDescent="0.3">
      <c r="G1201"/>
    </row>
    <row r="1202" spans="7:7" x14ac:dyDescent="0.3">
      <c r="G1202"/>
    </row>
    <row r="1203" spans="7:7" x14ac:dyDescent="0.3">
      <c r="G1203"/>
    </row>
    <row r="1204" spans="7:7" x14ac:dyDescent="0.3">
      <c r="G1204"/>
    </row>
    <row r="1205" spans="7:7" x14ac:dyDescent="0.3">
      <c r="G1205"/>
    </row>
    <row r="1206" spans="7:7" x14ac:dyDescent="0.3">
      <c r="G1206"/>
    </row>
    <row r="1207" spans="7:7" x14ac:dyDescent="0.3">
      <c r="G1207"/>
    </row>
    <row r="1208" spans="7:7" x14ac:dyDescent="0.3">
      <c r="G1208"/>
    </row>
    <row r="1209" spans="7:7" x14ac:dyDescent="0.3">
      <c r="G1209"/>
    </row>
    <row r="1210" spans="7:7" x14ac:dyDescent="0.3">
      <c r="G1210"/>
    </row>
    <row r="1211" spans="7:7" x14ac:dyDescent="0.3">
      <c r="G1211"/>
    </row>
    <row r="1212" spans="7:7" x14ac:dyDescent="0.3">
      <c r="G1212"/>
    </row>
    <row r="1213" spans="7:7" x14ac:dyDescent="0.3">
      <c r="G1213"/>
    </row>
    <row r="1214" spans="7:7" x14ac:dyDescent="0.3">
      <c r="G1214"/>
    </row>
    <row r="1215" spans="7:7" x14ac:dyDescent="0.3">
      <c r="G1215"/>
    </row>
    <row r="1216" spans="7:7" x14ac:dyDescent="0.3">
      <c r="G1216"/>
    </row>
    <row r="1217" spans="7:7" x14ac:dyDescent="0.3">
      <c r="G1217"/>
    </row>
    <row r="1218" spans="7:7" x14ac:dyDescent="0.3">
      <c r="G1218"/>
    </row>
    <row r="1219" spans="7:7" x14ac:dyDescent="0.3">
      <c r="G1219"/>
    </row>
    <row r="1220" spans="7:7" x14ac:dyDescent="0.3">
      <c r="G1220"/>
    </row>
    <row r="1221" spans="7:7" x14ac:dyDescent="0.3">
      <c r="G1221"/>
    </row>
    <row r="1222" spans="7:7" x14ac:dyDescent="0.3">
      <c r="G1222"/>
    </row>
    <row r="1223" spans="7:7" x14ac:dyDescent="0.3">
      <c r="G1223"/>
    </row>
    <row r="1224" spans="7:7" x14ac:dyDescent="0.3">
      <c r="G1224"/>
    </row>
    <row r="1225" spans="7:7" x14ac:dyDescent="0.3">
      <c r="G1225"/>
    </row>
    <row r="1226" spans="7:7" x14ac:dyDescent="0.3">
      <c r="G1226"/>
    </row>
    <row r="1227" spans="7:7" x14ac:dyDescent="0.3">
      <c r="G1227"/>
    </row>
    <row r="1228" spans="7:7" x14ac:dyDescent="0.3">
      <c r="G1228"/>
    </row>
    <row r="1229" spans="7:7" x14ac:dyDescent="0.3">
      <c r="G1229"/>
    </row>
    <row r="1230" spans="7:7" x14ac:dyDescent="0.3">
      <c r="G1230"/>
    </row>
    <row r="1231" spans="7:7" x14ac:dyDescent="0.3">
      <c r="G1231"/>
    </row>
    <row r="1232" spans="7:7" x14ac:dyDescent="0.3">
      <c r="G1232"/>
    </row>
    <row r="1233" spans="7:7" x14ac:dyDescent="0.3">
      <c r="G1233"/>
    </row>
    <row r="1234" spans="7:7" x14ac:dyDescent="0.3">
      <c r="G1234"/>
    </row>
    <row r="1235" spans="7:7" x14ac:dyDescent="0.3">
      <c r="G1235"/>
    </row>
    <row r="1236" spans="7:7" x14ac:dyDescent="0.3">
      <c r="G1236"/>
    </row>
    <row r="1237" spans="7:7" x14ac:dyDescent="0.3">
      <c r="G1237"/>
    </row>
    <row r="1238" spans="7:7" x14ac:dyDescent="0.3">
      <c r="G1238"/>
    </row>
    <row r="1239" spans="7:7" x14ac:dyDescent="0.3">
      <c r="G1239"/>
    </row>
    <row r="1240" spans="7:7" x14ac:dyDescent="0.3">
      <c r="G1240"/>
    </row>
    <row r="1241" spans="7:7" x14ac:dyDescent="0.3">
      <c r="G1241"/>
    </row>
    <row r="1242" spans="7:7" x14ac:dyDescent="0.3">
      <c r="G1242"/>
    </row>
    <row r="1243" spans="7:7" x14ac:dyDescent="0.3">
      <c r="G1243"/>
    </row>
    <row r="1244" spans="7:7" x14ac:dyDescent="0.3">
      <c r="G1244"/>
    </row>
    <row r="1245" spans="7:7" x14ac:dyDescent="0.3">
      <c r="G1245"/>
    </row>
    <row r="1246" spans="7:7" x14ac:dyDescent="0.3">
      <c r="G1246"/>
    </row>
    <row r="1247" spans="7:7" x14ac:dyDescent="0.3">
      <c r="G1247"/>
    </row>
    <row r="1248" spans="7:7" x14ac:dyDescent="0.3">
      <c r="G1248"/>
    </row>
    <row r="1249" spans="7:7" x14ac:dyDescent="0.3">
      <c r="G1249"/>
    </row>
    <row r="1250" spans="7:7" x14ac:dyDescent="0.3">
      <c r="G1250"/>
    </row>
    <row r="1251" spans="7:7" x14ac:dyDescent="0.3">
      <c r="G1251"/>
    </row>
    <row r="1252" spans="7:7" x14ac:dyDescent="0.3">
      <c r="G1252"/>
    </row>
    <row r="1253" spans="7:7" x14ac:dyDescent="0.3">
      <c r="G1253"/>
    </row>
    <row r="1254" spans="7:7" x14ac:dyDescent="0.3">
      <c r="G1254"/>
    </row>
    <row r="1255" spans="7:7" x14ac:dyDescent="0.3">
      <c r="G1255"/>
    </row>
    <row r="1256" spans="7:7" x14ac:dyDescent="0.3">
      <c r="G1256"/>
    </row>
    <row r="1257" spans="7:7" x14ac:dyDescent="0.3">
      <c r="G1257"/>
    </row>
    <row r="1258" spans="7:7" x14ac:dyDescent="0.3">
      <c r="G1258"/>
    </row>
    <row r="1259" spans="7:7" x14ac:dyDescent="0.3">
      <c r="G1259"/>
    </row>
    <row r="1260" spans="7:7" x14ac:dyDescent="0.3">
      <c r="G1260"/>
    </row>
    <row r="1261" spans="7:7" x14ac:dyDescent="0.3">
      <c r="G1261"/>
    </row>
    <row r="1262" spans="7:7" x14ac:dyDescent="0.3">
      <c r="G1262"/>
    </row>
    <row r="1263" spans="7:7" x14ac:dyDescent="0.3">
      <c r="G1263"/>
    </row>
    <row r="1264" spans="7:7" x14ac:dyDescent="0.3">
      <c r="G1264"/>
    </row>
    <row r="1265" spans="7:7" x14ac:dyDescent="0.3">
      <c r="G1265"/>
    </row>
    <row r="1266" spans="7:7" x14ac:dyDescent="0.3">
      <c r="G1266"/>
    </row>
    <row r="1267" spans="7:7" x14ac:dyDescent="0.3">
      <c r="G1267"/>
    </row>
    <row r="1268" spans="7:7" x14ac:dyDescent="0.3">
      <c r="G1268"/>
    </row>
    <row r="1269" spans="7:7" x14ac:dyDescent="0.3">
      <c r="G1269"/>
    </row>
    <row r="1270" spans="7:7" x14ac:dyDescent="0.3">
      <c r="G1270"/>
    </row>
    <row r="1271" spans="7:7" x14ac:dyDescent="0.3">
      <c r="G1271"/>
    </row>
    <row r="1272" spans="7:7" x14ac:dyDescent="0.3">
      <c r="G1272"/>
    </row>
    <row r="1273" spans="7:7" x14ac:dyDescent="0.3">
      <c r="G1273"/>
    </row>
    <row r="1274" spans="7:7" x14ac:dyDescent="0.3">
      <c r="G1274"/>
    </row>
    <row r="1275" spans="7:7" x14ac:dyDescent="0.3">
      <c r="G1275"/>
    </row>
    <row r="1276" spans="7:7" x14ac:dyDescent="0.3">
      <c r="G1276"/>
    </row>
    <row r="1277" spans="7:7" x14ac:dyDescent="0.3">
      <c r="G1277"/>
    </row>
    <row r="1278" spans="7:7" x14ac:dyDescent="0.3">
      <c r="G1278"/>
    </row>
    <row r="1279" spans="7:7" x14ac:dyDescent="0.3">
      <c r="G1279"/>
    </row>
    <row r="1280" spans="7:7" x14ac:dyDescent="0.3">
      <c r="G1280"/>
    </row>
    <row r="1281" spans="7:7" x14ac:dyDescent="0.3">
      <c r="G1281"/>
    </row>
    <row r="1282" spans="7:7" x14ac:dyDescent="0.3">
      <c r="G1282"/>
    </row>
    <row r="1283" spans="7:7" x14ac:dyDescent="0.3">
      <c r="G1283"/>
    </row>
    <row r="1284" spans="7:7" x14ac:dyDescent="0.3">
      <c r="G1284"/>
    </row>
    <row r="1285" spans="7:7" x14ac:dyDescent="0.3">
      <c r="G1285"/>
    </row>
    <row r="1286" spans="7:7" x14ac:dyDescent="0.3">
      <c r="G1286"/>
    </row>
    <row r="1287" spans="7:7" x14ac:dyDescent="0.3">
      <c r="G1287"/>
    </row>
    <row r="1288" spans="7:7" x14ac:dyDescent="0.3">
      <c r="G1288"/>
    </row>
    <row r="1289" spans="7:7" x14ac:dyDescent="0.3">
      <c r="G1289"/>
    </row>
    <row r="1290" spans="7:7" x14ac:dyDescent="0.3">
      <c r="G1290"/>
    </row>
    <row r="1291" spans="7:7" x14ac:dyDescent="0.3">
      <c r="G1291"/>
    </row>
    <row r="1292" spans="7:7" x14ac:dyDescent="0.3">
      <c r="G1292"/>
    </row>
    <row r="1293" spans="7:7" x14ac:dyDescent="0.3">
      <c r="G1293"/>
    </row>
    <row r="1294" spans="7:7" x14ac:dyDescent="0.3">
      <c r="G1294"/>
    </row>
    <row r="1295" spans="7:7" x14ac:dyDescent="0.3">
      <c r="G1295"/>
    </row>
    <row r="1296" spans="7:7" x14ac:dyDescent="0.3">
      <c r="G1296"/>
    </row>
    <row r="1297" spans="7:7" x14ac:dyDescent="0.3">
      <c r="G1297"/>
    </row>
    <row r="1298" spans="7:7" x14ac:dyDescent="0.3">
      <c r="G1298"/>
    </row>
    <row r="1299" spans="7:7" x14ac:dyDescent="0.3">
      <c r="G1299"/>
    </row>
    <row r="1300" spans="7:7" x14ac:dyDescent="0.3">
      <c r="G1300"/>
    </row>
    <row r="1301" spans="7:7" x14ac:dyDescent="0.3">
      <c r="G1301"/>
    </row>
    <row r="1302" spans="7:7" x14ac:dyDescent="0.3">
      <c r="G1302"/>
    </row>
    <row r="1303" spans="7:7" x14ac:dyDescent="0.3">
      <c r="G1303"/>
    </row>
    <row r="1304" spans="7:7" x14ac:dyDescent="0.3">
      <c r="G1304"/>
    </row>
    <row r="1305" spans="7:7" x14ac:dyDescent="0.3">
      <c r="G1305"/>
    </row>
    <row r="1306" spans="7:7" x14ac:dyDescent="0.3">
      <c r="G1306"/>
    </row>
    <row r="1307" spans="7:7" x14ac:dyDescent="0.3">
      <c r="G1307"/>
    </row>
    <row r="1308" spans="7:7" x14ac:dyDescent="0.3">
      <c r="G1308"/>
    </row>
    <row r="1309" spans="7:7" x14ac:dyDescent="0.3">
      <c r="G1309"/>
    </row>
    <row r="1310" spans="7:7" x14ac:dyDescent="0.3">
      <c r="G1310"/>
    </row>
    <row r="1311" spans="7:7" x14ac:dyDescent="0.3">
      <c r="G1311"/>
    </row>
    <row r="1312" spans="7:7" x14ac:dyDescent="0.3">
      <c r="G1312"/>
    </row>
    <row r="1313" spans="7:7" x14ac:dyDescent="0.3">
      <c r="G1313"/>
    </row>
    <row r="1314" spans="7:7" x14ac:dyDescent="0.3">
      <c r="G1314"/>
    </row>
    <row r="1315" spans="7:7" x14ac:dyDescent="0.3">
      <c r="G1315"/>
    </row>
    <row r="1316" spans="7:7" x14ac:dyDescent="0.3">
      <c r="G1316"/>
    </row>
    <row r="1317" spans="7:7" x14ac:dyDescent="0.3">
      <c r="G1317"/>
    </row>
    <row r="1318" spans="7:7" x14ac:dyDescent="0.3">
      <c r="G1318"/>
    </row>
    <row r="1319" spans="7:7" x14ac:dyDescent="0.3">
      <c r="G1319"/>
    </row>
    <row r="1320" spans="7:7" x14ac:dyDescent="0.3">
      <c r="G1320"/>
    </row>
    <row r="1321" spans="7:7" x14ac:dyDescent="0.3">
      <c r="G1321"/>
    </row>
    <row r="1322" spans="7:7" x14ac:dyDescent="0.3">
      <c r="G1322"/>
    </row>
    <row r="1323" spans="7:7" x14ac:dyDescent="0.3">
      <c r="G1323"/>
    </row>
    <row r="1324" spans="7:7" x14ac:dyDescent="0.3">
      <c r="G1324"/>
    </row>
    <row r="1325" spans="7:7" x14ac:dyDescent="0.3">
      <c r="G1325"/>
    </row>
    <row r="1326" spans="7:7" x14ac:dyDescent="0.3">
      <c r="G1326"/>
    </row>
    <row r="1327" spans="7:7" x14ac:dyDescent="0.3">
      <c r="G1327"/>
    </row>
    <row r="1328" spans="7:7" x14ac:dyDescent="0.3">
      <c r="G1328"/>
    </row>
    <row r="1329" spans="7:7" x14ac:dyDescent="0.3">
      <c r="G1329"/>
    </row>
    <row r="1330" spans="7:7" x14ac:dyDescent="0.3">
      <c r="G1330"/>
    </row>
    <row r="1331" spans="7:7" x14ac:dyDescent="0.3">
      <c r="G1331"/>
    </row>
    <row r="1332" spans="7:7" x14ac:dyDescent="0.3">
      <c r="G1332"/>
    </row>
    <row r="1333" spans="7:7" x14ac:dyDescent="0.3">
      <c r="G1333"/>
    </row>
    <row r="1334" spans="7:7" x14ac:dyDescent="0.3">
      <c r="G1334"/>
    </row>
    <row r="1335" spans="7:7" x14ac:dyDescent="0.3">
      <c r="G1335"/>
    </row>
    <row r="1336" spans="7:7" x14ac:dyDescent="0.3">
      <c r="G1336"/>
    </row>
    <row r="1337" spans="7:7" x14ac:dyDescent="0.3">
      <c r="G1337"/>
    </row>
    <row r="1338" spans="7:7" x14ac:dyDescent="0.3">
      <c r="G1338"/>
    </row>
    <row r="1339" spans="7:7" x14ac:dyDescent="0.3">
      <c r="G1339"/>
    </row>
    <row r="1340" spans="7:7" x14ac:dyDescent="0.3">
      <c r="G1340"/>
    </row>
    <row r="1341" spans="7:7" x14ac:dyDescent="0.3">
      <c r="G1341"/>
    </row>
    <row r="1342" spans="7:7" x14ac:dyDescent="0.3">
      <c r="G1342"/>
    </row>
    <row r="1343" spans="7:7" x14ac:dyDescent="0.3">
      <c r="G1343"/>
    </row>
    <row r="1344" spans="7:7" x14ac:dyDescent="0.3">
      <c r="G1344"/>
    </row>
    <row r="1345" spans="7:7" x14ac:dyDescent="0.3">
      <c r="G1345"/>
    </row>
    <row r="1346" spans="7:7" x14ac:dyDescent="0.3">
      <c r="G1346"/>
    </row>
    <row r="1347" spans="7:7" x14ac:dyDescent="0.3">
      <c r="G1347"/>
    </row>
    <row r="1348" spans="7:7" x14ac:dyDescent="0.3">
      <c r="G1348"/>
    </row>
    <row r="1349" spans="7:7" x14ac:dyDescent="0.3">
      <c r="G1349"/>
    </row>
    <row r="1350" spans="7:7" x14ac:dyDescent="0.3">
      <c r="G1350"/>
    </row>
    <row r="1351" spans="7:7" x14ac:dyDescent="0.3">
      <c r="G1351"/>
    </row>
    <row r="1352" spans="7:7" x14ac:dyDescent="0.3">
      <c r="G1352"/>
    </row>
    <row r="1353" spans="7:7" x14ac:dyDescent="0.3">
      <c r="G1353"/>
    </row>
    <row r="1354" spans="7:7" x14ac:dyDescent="0.3">
      <c r="G1354"/>
    </row>
    <row r="1355" spans="7:7" x14ac:dyDescent="0.3">
      <c r="G1355"/>
    </row>
    <row r="1356" spans="7:7" x14ac:dyDescent="0.3">
      <c r="G1356"/>
    </row>
    <row r="1357" spans="7:7" x14ac:dyDescent="0.3">
      <c r="G1357"/>
    </row>
    <row r="1358" spans="7:7" x14ac:dyDescent="0.3">
      <c r="G1358"/>
    </row>
    <row r="1359" spans="7:7" x14ac:dyDescent="0.3">
      <c r="G1359"/>
    </row>
    <row r="1360" spans="7:7" x14ac:dyDescent="0.3">
      <c r="G1360"/>
    </row>
    <row r="1361" spans="7:7" x14ac:dyDescent="0.3">
      <c r="G1361"/>
    </row>
    <row r="1362" spans="7:7" x14ac:dyDescent="0.3">
      <c r="G1362"/>
    </row>
    <row r="1363" spans="7:7" x14ac:dyDescent="0.3">
      <c r="G1363"/>
    </row>
    <row r="1364" spans="7:7" x14ac:dyDescent="0.3">
      <c r="G1364"/>
    </row>
    <row r="1365" spans="7:7" x14ac:dyDescent="0.3">
      <c r="G1365"/>
    </row>
    <row r="1366" spans="7:7" x14ac:dyDescent="0.3">
      <c r="G1366"/>
    </row>
    <row r="1367" spans="7:7" x14ac:dyDescent="0.3">
      <c r="G1367"/>
    </row>
    <row r="1368" spans="7:7" x14ac:dyDescent="0.3">
      <c r="G1368"/>
    </row>
    <row r="1369" spans="7:7" x14ac:dyDescent="0.3">
      <c r="G1369"/>
    </row>
    <row r="1370" spans="7:7" x14ac:dyDescent="0.3">
      <c r="G1370"/>
    </row>
    <row r="1371" spans="7:7" x14ac:dyDescent="0.3">
      <c r="G1371"/>
    </row>
    <row r="1372" spans="7:7" x14ac:dyDescent="0.3">
      <c r="G1372"/>
    </row>
    <row r="1373" spans="7:7" x14ac:dyDescent="0.3">
      <c r="G1373"/>
    </row>
    <row r="1374" spans="7:7" x14ac:dyDescent="0.3">
      <c r="G1374"/>
    </row>
    <row r="1375" spans="7:7" x14ac:dyDescent="0.3">
      <c r="G1375"/>
    </row>
    <row r="1376" spans="7:7" x14ac:dyDescent="0.3">
      <c r="G1376"/>
    </row>
    <row r="1377" spans="7:7" x14ac:dyDescent="0.3">
      <c r="G1377"/>
    </row>
    <row r="1378" spans="7:7" x14ac:dyDescent="0.3">
      <c r="G1378"/>
    </row>
    <row r="1379" spans="7:7" x14ac:dyDescent="0.3">
      <c r="G1379"/>
    </row>
    <row r="1380" spans="7:7" x14ac:dyDescent="0.3">
      <c r="G1380"/>
    </row>
    <row r="1381" spans="7:7" x14ac:dyDescent="0.3">
      <c r="G1381"/>
    </row>
    <row r="1382" spans="7:7" x14ac:dyDescent="0.3">
      <c r="G1382"/>
    </row>
    <row r="1383" spans="7:7" x14ac:dyDescent="0.3">
      <c r="G1383"/>
    </row>
    <row r="1384" spans="7:7" x14ac:dyDescent="0.3">
      <c r="G1384"/>
    </row>
    <row r="1385" spans="7:7" x14ac:dyDescent="0.3">
      <c r="G1385"/>
    </row>
    <row r="1386" spans="7:7" x14ac:dyDescent="0.3">
      <c r="G1386"/>
    </row>
    <row r="1387" spans="7:7" x14ac:dyDescent="0.3">
      <c r="G1387"/>
    </row>
    <row r="1388" spans="7:7" x14ac:dyDescent="0.3">
      <c r="G1388"/>
    </row>
    <row r="1389" spans="7:7" x14ac:dyDescent="0.3">
      <c r="G1389"/>
    </row>
    <row r="1390" spans="7:7" x14ac:dyDescent="0.3">
      <c r="G1390"/>
    </row>
    <row r="1391" spans="7:7" x14ac:dyDescent="0.3">
      <c r="G1391"/>
    </row>
    <row r="1392" spans="7:7" x14ac:dyDescent="0.3">
      <c r="G1392"/>
    </row>
    <row r="1393" spans="7:7" x14ac:dyDescent="0.3">
      <c r="G1393"/>
    </row>
    <row r="1394" spans="7:7" x14ac:dyDescent="0.3">
      <c r="G1394"/>
    </row>
    <row r="1395" spans="7:7" x14ac:dyDescent="0.3">
      <c r="G1395"/>
    </row>
    <row r="1396" spans="7:7" x14ac:dyDescent="0.3">
      <c r="G1396"/>
    </row>
    <row r="1397" spans="7:7" x14ac:dyDescent="0.3">
      <c r="G1397"/>
    </row>
    <row r="1398" spans="7:7" x14ac:dyDescent="0.3">
      <c r="G1398"/>
    </row>
    <row r="1399" spans="7:7" x14ac:dyDescent="0.3">
      <c r="G1399"/>
    </row>
    <row r="1400" spans="7:7" x14ac:dyDescent="0.3">
      <c r="G1400"/>
    </row>
    <row r="1401" spans="7:7" x14ac:dyDescent="0.3">
      <c r="G1401"/>
    </row>
    <row r="1402" spans="7:7" x14ac:dyDescent="0.3">
      <c r="G1402"/>
    </row>
    <row r="1403" spans="7:7" x14ac:dyDescent="0.3">
      <c r="G1403"/>
    </row>
    <row r="1404" spans="7:7" x14ac:dyDescent="0.3">
      <c r="G1404"/>
    </row>
    <row r="1405" spans="7:7" x14ac:dyDescent="0.3">
      <c r="G1405"/>
    </row>
    <row r="1406" spans="7:7" x14ac:dyDescent="0.3">
      <c r="G1406"/>
    </row>
    <row r="1407" spans="7:7" x14ac:dyDescent="0.3">
      <c r="G1407"/>
    </row>
    <row r="1408" spans="7:7" x14ac:dyDescent="0.3">
      <c r="G1408"/>
    </row>
    <row r="1409" spans="7:7" x14ac:dyDescent="0.3">
      <c r="G1409"/>
    </row>
    <row r="1410" spans="7:7" x14ac:dyDescent="0.3">
      <c r="G1410"/>
    </row>
    <row r="1411" spans="7:7" x14ac:dyDescent="0.3">
      <c r="G1411"/>
    </row>
    <row r="1412" spans="7:7" x14ac:dyDescent="0.3">
      <c r="G1412"/>
    </row>
    <row r="1413" spans="7:7" x14ac:dyDescent="0.3">
      <c r="G1413"/>
    </row>
    <row r="1414" spans="7:7" x14ac:dyDescent="0.3">
      <c r="G1414"/>
    </row>
    <row r="1415" spans="7:7" x14ac:dyDescent="0.3">
      <c r="G1415"/>
    </row>
    <row r="1416" spans="7:7" x14ac:dyDescent="0.3">
      <c r="G1416"/>
    </row>
    <row r="1417" spans="7:7" x14ac:dyDescent="0.3">
      <c r="G1417"/>
    </row>
    <row r="1418" spans="7:7" x14ac:dyDescent="0.3">
      <c r="G1418"/>
    </row>
    <row r="1419" spans="7:7" x14ac:dyDescent="0.3">
      <c r="G1419"/>
    </row>
    <row r="1420" spans="7:7" x14ac:dyDescent="0.3">
      <c r="G1420"/>
    </row>
    <row r="1421" spans="7:7" x14ac:dyDescent="0.3">
      <c r="G1421"/>
    </row>
    <row r="1422" spans="7:7" x14ac:dyDescent="0.3">
      <c r="G1422"/>
    </row>
    <row r="1423" spans="7:7" x14ac:dyDescent="0.3">
      <c r="G1423"/>
    </row>
    <row r="1424" spans="7:7" x14ac:dyDescent="0.3">
      <c r="G1424"/>
    </row>
    <row r="1425" spans="7:7" x14ac:dyDescent="0.3">
      <c r="G1425"/>
    </row>
    <row r="1426" spans="7:7" x14ac:dyDescent="0.3">
      <c r="G1426"/>
    </row>
    <row r="1427" spans="7:7" x14ac:dyDescent="0.3">
      <c r="G1427"/>
    </row>
    <row r="1428" spans="7:7" x14ac:dyDescent="0.3">
      <c r="G1428"/>
    </row>
    <row r="1429" spans="7:7" x14ac:dyDescent="0.3">
      <c r="G1429"/>
    </row>
    <row r="1430" spans="7:7" x14ac:dyDescent="0.3">
      <c r="G1430"/>
    </row>
    <row r="1431" spans="7:7" x14ac:dyDescent="0.3">
      <c r="G1431"/>
    </row>
    <row r="1432" spans="7:7" x14ac:dyDescent="0.3">
      <c r="G1432"/>
    </row>
    <row r="1433" spans="7:7" x14ac:dyDescent="0.3">
      <c r="G1433"/>
    </row>
    <row r="1434" spans="7:7" x14ac:dyDescent="0.3">
      <c r="G1434"/>
    </row>
    <row r="1435" spans="7:7" x14ac:dyDescent="0.3">
      <c r="G1435"/>
    </row>
    <row r="1436" spans="7:7" x14ac:dyDescent="0.3">
      <c r="G1436"/>
    </row>
    <row r="1437" spans="7:7" x14ac:dyDescent="0.3">
      <c r="G1437"/>
    </row>
    <row r="1438" spans="7:7" x14ac:dyDescent="0.3">
      <c r="G1438"/>
    </row>
    <row r="1439" spans="7:7" x14ac:dyDescent="0.3">
      <c r="G1439"/>
    </row>
    <row r="1440" spans="7:7" x14ac:dyDescent="0.3">
      <c r="G1440"/>
    </row>
    <row r="1441" spans="7:7" x14ac:dyDescent="0.3">
      <c r="G1441"/>
    </row>
    <row r="1442" spans="7:7" x14ac:dyDescent="0.3">
      <c r="G1442"/>
    </row>
    <row r="1443" spans="7:7" x14ac:dyDescent="0.3">
      <c r="G1443"/>
    </row>
    <row r="1444" spans="7:7" x14ac:dyDescent="0.3">
      <c r="G1444"/>
    </row>
    <row r="1445" spans="7:7" x14ac:dyDescent="0.3">
      <c r="G1445"/>
    </row>
    <row r="1446" spans="7:7" x14ac:dyDescent="0.3">
      <c r="G1446"/>
    </row>
    <row r="1447" spans="7:7" x14ac:dyDescent="0.3">
      <c r="G1447"/>
    </row>
    <row r="1448" spans="7:7" x14ac:dyDescent="0.3">
      <c r="G1448"/>
    </row>
    <row r="1449" spans="7:7" x14ac:dyDescent="0.3">
      <c r="G1449"/>
    </row>
    <row r="1450" spans="7:7" x14ac:dyDescent="0.3">
      <c r="G1450"/>
    </row>
    <row r="1451" spans="7:7" x14ac:dyDescent="0.3">
      <c r="G1451"/>
    </row>
    <row r="1452" spans="7:7" x14ac:dyDescent="0.3">
      <c r="G1452"/>
    </row>
    <row r="1453" spans="7:7" x14ac:dyDescent="0.3">
      <c r="G1453"/>
    </row>
    <row r="1454" spans="7:7" x14ac:dyDescent="0.3">
      <c r="G1454"/>
    </row>
    <row r="1455" spans="7:7" x14ac:dyDescent="0.3">
      <c r="G1455"/>
    </row>
    <row r="1456" spans="7:7" x14ac:dyDescent="0.3">
      <c r="G1456"/>
    </row>
    <row r="1457" spans="7:7" x14ac:dyDescent="0.3">
      <c r="G1457"/>
    </row>
    <row r="1458" spans="7:7" x14ac:dyDescent="0.3">
      <c r="G1458"/>
    </row>
    <row r="1459" spans="7:7" x14ac:dyDescent="0.3">
      <c r="G1459"/>
    </row>
    <row r="1460" spans="7:7" x14ac:dyDescent="0.3">
      <c r="G1460"/>
    </row>
    <row r="1461" spans="7:7" x14ac:dyDescent="0.3">
      <c r="G1461"/>
    </row>
    <row r="1462" spans="7:7" x14ac:dyDescent="0.3">
      <c r="G1462"/>
    </row>
    <row r="1463" spans="7:7" x14ac:dyDescent="0.3">
      <c r="G1463"/>
    </row>
    <row r="1464" spans="7:7" x14ac:dyDescent="0.3">
      <c r="G1464"/>
    </row>
    <row r="1465" spans="7:7" x14ac:dyDescent="0.3">
      <c r="G1465"/>
    </row>
    <row r="1466" spans="7:7" x14ac:dyDescent="0.3">
      <c r="G1466"/>
    </row>
    <row r="1467" spans="7:7" x14ac:dyDescent="0.3">
      <c r="G1467"/>
    </row>
    <row r="1468" spans="7:7" x14ac:dyDescent="0.3">
      <c r="G1468"/>
    </row>
    <row r="1469" spans="7:7" x14ac:dyDescent="0.3">
      <c r="G1469"/>
    </row>
    <row r="1470" spans="7:7" x14ac:dyDescent="0.3">
      <c r="G1470"/>
    </row>
    <row r="1471" spans="7:7" x14ac:dyDescent="0.3">
      <c r="G1471"/>
    </row>
    <row r="1472" spans="7:7" x14ac:dyDescent="0.3">
      <c r="G1472"/>
    </row>
    <row r="1473" spans="7:7" x14ac:dyDescent="0.3">
      <c r="G1473"/>
    </row>
    <row r="1474" spans="7:7" x14ac:dyDescent="0.3">
      <c r="G1474"/>
    </row>
    <row r="1475" spans="7:7" x14ac:dyDescent="0.3">
      <c r="G1475"/>
    </row>
    <row r="1476" spans="7:7" x14ac:dyDescent="0.3">
      <c r="G1476"/>
    </row>
    <row r="1477" spans="7:7" x14ac:dyDescent="0.3">
      <c r="G1477"/>
    </row>
    <row r="1478" spans="7:7" x14ac:dyDescent="0.3">
      <c r="G1478"/>
    </row>
    <row r="1479" spans="7:7" x14ac:dyDescent="0.3">
      <c r="G1479"/>
    </row>
    <row r="1480" spans="7:7" x14ac:dyDescent="0.3">
      <c r="G1480"/>
    </row>
    <row r="1481" spans="7:7" x14ac:dyDescent="0.3">
      <c r="G1481"/>
    </row>
    <row r="1482" spans="7:7" x14ac:dyDescent="0.3">
      <c r="G1482"/>
    </row>
    <row r="1483" spans="7:7" x14ac:dyDescent="0.3">
      <c r="G1483"/>
    </row>
    <row r="1484" spans="7:7" x14ac:dyDescent="0.3">
      <c r="G1484"/>
    </row>
    <row r="1485" spans="7:7" x14ac:dyDescent="0.3">
      <c r="G1485"/>
    </row>
    <row r="1486" spans="7:7" x14ac:dyDescent="0.3">
      <c r="G1486"/>
    </row>
    <row r="1487" spans="7:7" x14ac:dyDescent="0.3">
      <c r="G1487"/>
    </row>
    <row r="1488" spans="7:7" x14ac:dyDescent="0.3">
      <c r="G1488"/>
    </row>
    <row r="1489" spans="7:7" x14ac:dyDescent="0.3">
      <c r="G1489"/>
    </row>
    <row r="1490" spans="7:7" x14ac:dyDescent="0.3">
      <c r="G1490"/>
    </row>
    <row r="1491" spans="7:7" x14ac:dyDescent="0.3">
      <c r="G1491"/>
    </row>
    <row r="1492" spans="7:7" x14ac:dyDescent="0.3">
      <c r="G1492"/>
    </row>
    <row r="1493" spans="7:7" x14ac:dyDescent="0.3">
      <c r="G1493"/>
    </row>
    <row r="1494" spans="7:7" x14ac:dyDescent="0.3">
      <c r="G1494"/>
    </row>
    <row r="1495" spans="7:7" x14ac:dyDescent="0.3">
      <c r="G1495"/>
    </row>
    <row r="1496" spans="7:7" x14ac:dyDescent="0.3">
      <c r="G1496"/>
    </row>
    <row r="1497" spans="7:7" x14ac:dyDescent="0.3">
      <c r="G1497"/>
    </row>
    <row r="1498" spans="7:7" x14ac:dyDescent="0.3">
      <c r="G1498"/>
    </row>
    <row r="1499" spans="7:7" x14ac:dyDescent="0.3">
      <c r="G1499"/>
    </row>
    <row r="1500" spans="7:7" x14ac:dyDescent="0.3">
      <c r="G1500"/>
    </row>
    <row r="1501" spans="7:7" x14ac:dyDescent="0.3">
      <c r="G1501"/>
    </row>
    <row r="1502" spans="7:7" x14ac:dyDescent="0.3">
      <c r="G1502"/>
    </row>
    <row r="1503" spans="7:7" x14ac:dyDescent="0.3">
      <c r="G1503"/>
    </row>
    <row r="1504" spans="7:7" x14ac:dyDescent="0.3">
      <c r="G1504"/>
    </row>
    <row r="1505" spans="7:7" x14ac:dyDescent="0.3">
      <c r="G1505"/>
    </row>
    <row r="1506" spans="7:7" x14ac:dyDescent="0.3">
      <c r="G1506"/>
    </row>
    <row r="1507" spans="7:7" x14ac:dyDescent="0.3">
      <c r="G1507"/>
    </row>
    <row r="1508" spans="7:7" x14ac:dyDescent="0.3">
      <c r="G1508"/>
    </row>
    <row r="1509" spans="7:7" x14ac:dyDescent="0.3">
      <c r="G1509"/>
    </row>
    <row r="1510" spans="7:7" x14ac:dyDescent="0.3">
      <c r="G1510"/>
    </row>
    <row r="1511" spans="7:7" x14ac:dyDescent="0.3">
      <c r="G1511"/>
    </row>
    <row r="1512" spans="7:7" x14ac:dyDescent="0.3">
      <c r="G1512"/>
    </row>
    <row r="1513" spans="7:7" x14ac:dyDescent="0.3">
      <c r="G1513"/>
    </row>
    <row r="1514" spans="7:7" x14ac:dyDescent="0.3">
      <c r="G1514"/>
    </row>
    <row r="1515" spans="7:7" x14ac:dyDescent="0.3">
      <c r="G1515"/>
    </row>
    <row r="1516" spans="7:7" x14ac:dyDescent="0.3">
      <c r="G1516"/>
    </row>
    <row r="1517" spans="7:7" x14ac:dyDescent="0.3">
      <c r="G1517"/>
    </row>
    <row r="1518" spans="7:7" x14ac:dyDescent="0.3">
      <c r="G1518"/>
    </row>
    <row r="1519" spans="7:7" x14ac:dyDescent="0.3">
      <c r="G1519"/>
    </row>
    <row r="1520" spans="7:7" x14ac:dyDescent="0.3">
      <c r="G1520"/>
    </row>
    <row r="1521" spans="7:7" x14ac:dyDescent="0.3">
      <c r="G1521"/>
    </row>
    <row r="1522" spans="7:7" x14ac:dyDescent="0.3">
      <c r="G1522"/>
    </row>
    <row r="1523" spans="7:7" x14ac:dyDescent="0.3">
      <c r="G1523"/>
    </row>
    <row r="1524" spans="7:7" x14ac:dyDescent="0.3">
      <c r="G1524"/>
    </row>
    <row r="1525" spans="7:7" x14ac:dyDescent="0.3">
      <c r="G1525"/>
    </row>
    <row r="1526" spans="7:7" x14ac:dyDescent="0.3">
      <c r="G1526"/>
    </row>
    <row r="1527" spans="7:7" x14ac:dyDescent="0.3">
      <c r="G1527"/>
    </row>
    <row r="1528" spans="7:7" x14ac:dyDescent="0.3">
      <c r="G1528"/>
    </row>
    <row r="1529" spans="7:7" x14ac:dyDescent="0.3">
      <c r="G1529"/>
    </row>
    <row r="1530" spans="7:7" x14ac:dyDescent="0.3">
      <c r="G1530"/>
    </row>
    <row r="1531" spans="7:7" x14ac:dyDescent="0.3">
      <c r="G1531"/>
    </row>
    <row r="1532" spans="7:7" x14ac:dyDescent="0.3">
      <c r="G1532"/>
    </row>
    <row r="1533" spans="7:7" x14ac:dyDescent="0.3">
      <c r="G1533"/>
    </row>
    <row r="1534" spans="7:7" x14ac:dyDescent="0.3">
      <c r="G1534"/>
    </row>
    <row r="1535" spans="7:7" x14ac:dyDescent="0.3">
      <c r="G1535"/>
    </row>
    <row r="1536" spans="7:7" x14ac:dyDescent="0.3">
      <c r="G1536"/>
    </row>
    <row r="1537" spans="7:7" x14ac:dyDescent="0.3">
      <c r="G1537"/>
    </row>
    <row r="1538" spans="7:7" x14ac:dyDescent="0.3">
      <c r="G1538"/>
    </row>
    <row r="1539" spans="7:7" x14ac:dyDescent="0.3">
      <c r="G1539"/>
    </row>
    <row r="1540" spans="7:7" x14ac:dyDescent="0.3">
      <c r="G1540"/>
    </row>
    <row r="1541" spans="7:7" x14ac:dyDescent="0.3">
      <c r="G1541"/>
    </row>
    <row r="1542" spans="7:7" x14ac:dyDescent="0.3">
      <c r="G1542"/>
    </row>
    <row r="1543" spans="7:7" x14ac:dyDescent="0.3">
      <c r="G1543"/>
    </row>
    <row r="1544" spans="7:7" x14ac:dyDescent="0.3">
      <c r="G1544"/>
    </row>
    <row r="1545" spans="7:7" x14ac:dyDescent="0.3">
      <c r="G1545"/>
    </row>
    <row r="1546" spans="7:7" x14ac:dyDescent="0.3">
      <c r="G1546"/>
    </row>
    <row r="1547" spans="7:7" x14ac:dyDescent="0.3">
      <c r="G1547"/>
    </row>
    <row r="1548" spans="7:7" x14ac:dyDescent="0.3">
      <c r="G1548"/>
    </row>
    <row r="1549" spans="7:7" x14ac:dyDescent="0.3">
      <c r="G1549"/>
    </row>
    <row r="1550" spans="7:7" x14ac:dyDescent="0.3">
      <c r="G1550"/>
    </row>
    <row r="1551" spans="7:7" x14ac:dyDescent="0.3">
      <c r="G1551"/>
    </row>
    <row r="1552" spans="7:7" x14ac:dyDescent="0.3">
      <c r="G1552"/>
    </row>
    <row r="1553" spans="7:7" x14ac:dyDescent="0.3">
      <c r="G1553"/>
    </row>
    <row r="1554" spans="7:7" x14ac:dyDescent="0.3">
      <c r="G1554"/>
    </row>
    <row r="1555" spans="7:7" x14ac:dyDescent="0.3">
      <c r="G1555"/>
    </row>
    <row r="1556" spans="7:7" x14ac:dyDescent="0.3">
      <c r="G1556"/>
    </row>
    <row r="1557" spans="7:7" x14ac:dyDescent="0.3">
      <c r="G1557"/>
    </row>
    <row r="1558" spans="7:7" x14ac:dyDescent="0.3">
      <c r="G1558"/>
    </row>
    <row r="1559" spans="7:7" x14ac:dyDescent="0.3">
      <c r="G1559"/>
    </row>
    <row r="1560" spans="7:7" x14ac:dyDescent="0.3">
      <c r="G1560"/>
    </row>
    <row r="1561" spans="7:7" x14ac:dyDescent="0.3">
      <c r="G1561"/>
    </row>
    <row r="1562" spans="7:7" x14ac:dyDescent="0.3">
      <c r="G1562"/>
    </row>
    <row r="1563" spans="7:7" x14ac:dyDescent="0.3">
      <c r="G1563"/>
    </row>
    <row r="1564" spans="7:7" x14ac:dyDescent="0.3">
      <c r="G1564"/>
    </row>
    <row r="1565" spans="7:7" x14ac:dyDescent="0.3">
      <c r="G1565"/>
    </row>
    <row r="1566" spans="7:7" x14ac:dyDescent="0.3">
      <c r="G1566"/>
    </row>
    <row r="1567" spans="7:7" x14ac:dyDescent="0.3">
      <c r="G1567"/>
    </row>
    <row r="1568" spans="7:7" x14ac:dyDescent="0.3">
      <c r="G1568"/>
    </row>
    <row r="1569" spans="7:7" x14ac:dyDescent="0.3">
      <c r="G1569"/>
    </row>
    <row r="1570" spans="7:7" x14ac:dyDescent="0.3">
      <c r="G1570"/>
    </row>
    <row r="1571" spans="7:7" x14ac:dyDescent="0.3">
      <c r="G1571"/>
    </row>
    <row r="1572" spans="7:7" x14ac:dyDescent="0.3">
      <c r="G1572"/>
    </row>
    <row r="1573" spans="7:7" x14ac:dyDescent="0.3">
      <c r="G1573"/>
    </row>
    <row r="1574" spans="7:7" x14ac:dyDescent="0.3">
      <c r="G1574"/>
    </row>
    <row r="1575" spans="7:7" x14ac:dyDescent="0.3">
      <c r="G1575"/>
    </row>
    <row r="1576" spans="7:7" x14ac:dyDescent="0.3">
      <c r="G1576"/>
    </row>
    <row r="1577" spans="7:7" x14ac:dyDescent="0.3">
      <c r="G1577"/>
    </row>
    <row r="1578" spans="7:7" x14ac:dyDescent="0.3">
      <c r="G1578"/>
    </row>
    <row r="1579" spans="7:7" x14ac:dyDescent="0.3">
      <c r="G1579"/>
    </row>
    <row r="1580" spans="7:7" x14ac:dyDescent="0.3">
      <c r="G1580"/>
    </row>
    <row r="1581" spans="7:7" x14ac:dyDescent="0.3">
      <c r="G1581"/>
    </row>
    <row r="1582" spans="7:7" x14ac:dyDescent="0.3">
      <c r="G1582"/>
    </row>
    <row r="1583" spans="7:7" x14ac:dyDescent="0.3">
      <c r="G1583"/>
    </row>
    <row r="1584" spans="7:7" x14ac:dyDescent="0.3">
      <c r="G1584"/>
    </row>
    <row r="1585" spans="7:7" x14ac:dyDescent="0.3">
      <c r="G1585"/>
    </row>
    <row r="1586" spans="7:7" x14ac:dyDescent="0.3">
      <c r="G1586"/>
    </row>
    <row r="1587" spans="7:7" x14ac:dyDescent="0.3">
      <c r="G1587"/>
    </row>
    <row r="1588" spans="7:7" x14ac:dyDescent="0.3">
      <c r="G1588"/>
    </row>
    <row r="1589" spans="7:7" x14ac:dyDescent="0.3">
      <c r="G1589"/>
    </row>
    <row r="1590" spans="7:7" x14ac:dyDescent="0.3">
      <c r="G1590"/>
    </row>
    <row r="1591" spans="7:7" x14ac:dyDescent="0.3">
      <c r="G1591"/>
    </row>
    <row r="1592" spans="7:7" x14ac:dyDescent="0.3">
      <c r="G1592"/>
    </row>
    <row r="1593" spans="7:7" x14ac:dyDescent="0.3">
      <c r="G1593"/>
    </row>
    <row r="1594" spans="7:7" x14ac:dyDescent="0.3">
      <c r="G1594"/>
    </row>
    <row r="1595" spans="7:7" x14ac:dyDescent="0.3">
      <c r="G1595"/>
    </row>
    <row r="1596" spans="7:7" x14ac:dyDescent="0.3">
      <c r="G1596"/>
    </row>
    <row r="1597" spans="7:7" x14ac:dyDescent="0.3">
      <c r="G1597"/>
    </row>
    <row r="1598" spans="7:7" x14ac:dyDescent="0.3">
      <c r="G1598"/>
    </row>
    <row r="1599" spans="7:7" x14ac:dyDescent="0.3">
      <c r="G1599"/>
    </row>
    <row r="1600" spans="7:7" x14ac:dyDescent="0.3">
      <c r="G1600"/>
    </row>
    <row r="1601" spans="7:7" x14ac:dyDescent="0.3">
      <c r="G1601"/>
    </row>
    <row r="1602" spans="7:7" x14ac:dyDescent="0.3">
      <c r="G1602"/>
    </row>
    <row r="1603" spans="7:7" x14ac:dyDescent="0.3">
      <c r="G1603"/>
    </row>
    <row r="1604" spans="7:7" x14ac:dyDescent="0.3">
      <c r="G1604"/>
    </row>
    <row r="1605" spans="7:7" x14ac:dyDescent="0.3">
      <c r="G1605"/>
    </row>
    <row r="1606" spans="7:7" x14ac:dyDescent="0.3">
      <c r="G1606"/>
    </row>
    <row r="1607" spans="7:7" x14ac:dyDescent="0.3">
      <c r="G1607"/>
    </row>
    <row r="1608" spans="7:7" x14ac:dyDescent="0.3">
      <c r="G1608"/>
    </row>
    <row r="1609" spans="7:7" x14ac:dyDescent="0.3">
      <c r="G1609"/>
    </row>
    <row r="1610" spans="7:7" x14ac:dyDescent="0.3">
      <c r="G1610"/>
    </row>
    <row r="1611" spans="7:7" x14ac:dyDescent="0.3">
      <c r="G1611"/>
    </row>
    <row r="1612" spans="7:7" x14ac:dyDescent="0.3">
      <c r="G1612"/>
    </row>
    <row r="1613" spans="7:7" x14ac:dyDescent="0.3">
      <c r="G1613"/>
    </row>
    <row r="1614" spans="7:7" x14ac:dyDescent="0.3">
      <c r="G1614"/>
    </row>
    <row r="1615" spans="7:7" x14ac:dyDescent="0.3">
      <c r="G1615"/>
    </row>
    <row r="1616" spans="7:7" x14ac:dyDescent="0.3">
      <c r="G1616"/>
    </row>
    <row r="1617" spans="7:7" x14ac:dyDescent="0.3">
      <c r="G1617"/>
    </row>
    <row r="1618" spans="7:7" x14ac:dyDescent="0.3">
      <c r="G1618"/>
    </row>
    <row r="1619" spans="7:7" x14ac:dyDescent="0.3">
      <c r="G1619"/>
    </row>
    <row r="1620" spans="7:7" x14ac:dyDescent="0.3">
      <c r="G1620"/>
    </row>
    <row r="1621" spans="7:7" x14ac:dyDescent="0.3">
      <c r="G1621"/>
    </row>
    <row r="1622" spans="7:7" x14ac:dyDescent="0.3">
      <c r="G1622"/>
    </row>
    <row r="1623" spans="7:7" x14ac:dyDescent="0.3">
      <c r="G1623"/>
    </row>
    <row r="1624" spans="7:7" x14ac:dyDescent="0.3">
      <c r="G1624"/>
    </row>
    <row r="1625" spans="7:7" x14ac:dyDescent="0.3">
      <c r="G1625"/>
    </row>
    <row r="1626" spans="7:7" x14ac:dyDescent="0.3">
      <c r="G1626"/>
    </row>
    <row r="1627" spans="7:7" x14ac:dyDescent="0.3">
      <c r="G1627"/>
    </row>
    <row r="1628" spans="7:7" x14ac:dyDescent="0.3">
      <c r="G1628"/>
    </row>
    <row r="1629" spans="7:7" x14ac:dyDescent="0.3">
      <c r="G1629"/>
    </row>
    <row r="1630" spans="7:7" x14ac:dyDescent="0.3">
      <c r="G1630"/>
    </row>
    <row r="1631" spans="7:7" x14ac:dyDescent="0.3">
      <c r="G1631"/>
    </row>
    <row r="1632" spans="7:7" x14ac:dyDescent="0.3">
      <c r="G1632"/>
    </row>
    <row r="1633" spans="7:7" x14ac:dyDescent="0.3">
      <c r="G1633"/>
    </row>
    <row r="1634" spans="7:7" x14ac:dyDescent="0.3">
      <c r="G1634"/>
    </row>
    <row r="1635" spans="7:7" x14ac:dyDescent="0.3">
      <c r="G1635"/>
    </row>
    <row r="1636" spans="7:7" x14ac:dyDescent="0.3">
      <c r="G1636"/>
    </row>
    <row r="1637" spans="7:7" x14ac:dyDescent="0.3">
      <c r="G1637"/>
    </row>
    <row r="1638" spans="7:7" x14ac:dyDescent="0.3">
      <c r="G1638"/>
    </row>
    <row r="1639" spans="7:7" x14ac:dyDescent="0.3">
      <c r="G1639"/>
    </row>
    <row r="1640" spans="7:7" x14ac:dyDescent="0.3">
      <c r="G1640"/>
    </row>
    <row r="1641" spans="7:7" x14ac:dyDescent="0.3">
      <c r="G1641"/>
    </row>
    <row r="1642" spans="7:7" x14ac:dyDescent="0.3">
      <c r="G1642"/>
    </row>
    <row r="1643" spans="7:7" x14ac:dyDescent="0.3">
      <c r="G1643"/>
    </row>
    <row r="1644" spans="7:7" x14ac:dyDescent="0.3">
      <c r="G1644"/>
    </row>
    <row r="1645" spans="7:7" x14ac:dyDescent="0.3">
      <c r="G1645"/>
    </row>
    <row r="1646" spans="7:7" x14ac:dyDescent="0.3">
      <c r="G1646"/>
    </row>
    <row r="1647" spans="7:7" x14ac:dyDescent="0.3">
      <c r="G1647"/>
    </row>
    <row r="1648" spans="7:7" x14ac:dyDescent="0.3">
      <c r="G1648"/>
    </row>
    <row r="1649" spans="7:7" x14ac:dyDescent="0.3">
      <c r="G1649"/>
    </row>
    <row r="1650" spans="7:7" x14ac:dyDescent="0.3">
      <c r="G1650"/>
    </row>
    <row r="1651" spans="7:7" x14ac:dyDescent="0.3">
      <c r="G1651"/>
    </row>
    <row r="1652" spans="7:7" x14ac:dyDescent="0.3">
      <c r="G1652"/>
    </row>
    <row r="1653" spans="7:7" x14ac:dyDescent="0.3">
      <c r="G1653"/>
    </row>
    <row r="1654" spans="7:7" x14ac:dyDescent="0.3">
      <c r="G1654"/>
    </row>
    <row r="1655" spans="7:7" x14ac:dyDescent="0.3">
      <c r="G1655"/>
    </row>
    <row r="1656" spans="7:7" x14ac:dyDescent="0.3">
      <c r="G1656"/>
    </row>
    <row r="1657" spans="7:7" x14ac:dyDescent="0.3">
      <c r="G1657"/>
    </row>
    <row r="1658" spans="7:7" x14ac:dyDescent="0.3">
      <c r="G1658"/>
    </row>
    <row r="1659" spans="7:7" x14ac:dyDescent="0.3">
      <c r="G1659"/>
    </row>
    <row r="1660" spans="7:7" x14ac:dyDescent="0.3">
      <c r="G1660"/>
    </row>
    <row r="1661" spans="7:7" x14ac:dyDescent="0.3">
      <c r="G1661"/>
    </row>
    <row r="1662" spans="7:7" x14ac:dyDescent="0.3">
      <c r="G1662"/>
    </row>
    <row r="1663" spans="7:7" x14ac:dyDescent="0.3">
      <c r="G1663"/>
    </row>
    <row r="1664" spans="7:7" x14ac:dyDescent="0.3">
      <c r="G1664"/>
    </row>
    <row r="1665" spans="7:7" x14ac:dyDescent="0.3">
      <c r="G1665"/>
    </row>
    <row r="1666" spans="7:7" x14ac:dyDescent="0.3">
      <c r="G1666"/>
    </row>
    <row r="1667" spans="7:7" x14ac:dyDescent="0.3">
      <c r="G1667"/>
    </row>
    <row r="1668" spans="7:7" x14ac:dyDescent="0.3">
      <c r="G1668"/>
    </row>
    <row r="1669" spans="7:7" x14ac:dyDescent="0.3">
      <c r="G1669"/>
    </row>
    <row r="1670" spans="7:7" x14ac:dyDescent="0.3">
      <c r="G1670"/>
    </row>
    <row r="1671" spans="7:7" x14ac:dyDescent="0.3">
      <c r="G1671"/>
    </row>
    <row r="1672" spans="7:7" x14ac:dyDescent="0.3">
      <c r="G1672"/>
    </row>
    <row r="1673" spans="7:7" x14ac:dyDescent="0.3">
      <c r="G1673"/>
    </row>
    <row r="1674" spans="7:7" x14ac:dyDescent="0.3">
      <c r="G1674"/>
    </row>
    <row r="1675" spans="7:7" x14ac:dyDescent="0.3">
      <c r="G1675"/>
    </row>
    <row r="1676" spans="7:7" x14ac:dyDescent="0.3">
      <c r="G1676"/>
    </row>
    <row r="1677" spans="7:7" x14ac:dyDescent="0.3">
      <c r="G1677"/>
    </row>
    <row r="1678" spans="7:7" x14ac:dyDescent="0.3">
      <c r="G1678"/>
    </row>
    <row r="1679" spans="7:7" x14ac:dyDescent="0.3">
      <c r="G1679"/>
    </row>
    <row r="1680" spans="7:7" x14ac:dyDescent="0.3">
      <c r="G1680"/>
    </row>
    <row r="1681" spans="7:7" x14ac:dyDescent="0.3">
      <c r="G1681"/>
    </row>
    <row r="1682" spans="7:7" x14ac:dyDescent="0.3">
      <c r="G1682"/>
    </row>
    <row r="1683" spans="7:7" x14ac:dyDescent="0.3">
      <c r="G1683"/>
    </row>
    <row r="1684" spans="7:7" x14ac:dyDescent="0.3">
      <c r="G1684"/>
    </row>
    <row r="1685" spans="7:7" x14ac:dyDescent="0.3">
      <c r="G1685"/>
    </row>
    <row r="1686" spans="7:7" x14ac:dyDescent="0.3">
      <c r="G1686"/>
    </row>
    <row r="1687" spans="7:7" x14ac:dyDescent="0.3">
      <c r="G1687"/>
    </row>
    <row r="1688" spans="7:7" x14ac:dyDescent="0.3">
      <c r="G1688"/>
    </row>
    <row r="1689" spans="7:7" x14ac:dyDescent="0.3">
      <c r="G1689"/>
    </row>
    <row r="1690" spans="7:7" x14ac:dyDescent="0.3">
      <c r="G1690"/>
    </row>
    <row r="1691" spans="7:7" x14ac:dyDescent="0.3">
      <c r="G1691"/>
    </row>
    <row r="1692" spans="7:7" x14ac:dyDescent="0.3">
      <c r="G1692"/>
    </row>
    <row r="1693" spans="7:7" x14ac:dyDescent="0.3">
      <c r="G1693"/>
    </row>
    <row r="1694" spans="7:7" x14ac:dyDescent="0.3">
      <c r="G1694"/>
    </row>
    <row r="1695" spans="7:7" x14ac:dyDescent="0.3">
      <c r="G1695"/>
    </row>
    <row r="1696" spans="7:7" x14ac:dyDescent="0.3">
      <c r="G1696"/>
    </row>
    <row r="1697" spans="7:7" x14ac:dyDescent="0.3">
      <c r="G1697"/>
    </row>
    <row r="1698" spans="7:7" x14ac:dyDescent="0.3">
      <c r="G1698"/>
    </row>
    <row r="1699" spans="7:7" x14ac:dyDescent="0.3">
      <c r="G1699"/>
    </row>
    <row r="1700" spans="7:7" x14ac:dyDescent="0.3">
      <c r="G1700"/>
    </row>
    <row r="1701" spans="7:7" x14ac:dyDescent="0.3">
      <c r="G1701"/>
    </row>
    <row r="1702" spans="7:7" x14ac:dyDescent="0.3">
      <c r="G1702"/>
    </row>
    <row r="1703" spans="7:7" x14ac:dyDescent="0.3">
      <c r="G1703"/>
    </row>
    <row r="1704" spans="7:7" x14ac:dyDescent="0.3">
      <c r="G1704"/>
    </row>
    <row r="1705" spans="7:7" x14ac:dyDescent="0.3">
      <c r="G1705"/>
    </row>
    <row r="1706" spans="7:7" x14ac:dyDescent="0.3">
      <c r="G1706"/>
    </row>
    <row r="1707" spans="7:7" x14ac:dyDescent="0.3">
      <c r="G1707"/>
    </row>
    <row r="1708" spans="7:7" x14ac:dyDescent="0.3">
      <c r="G1708"/>
    </row>
    <row r="1709" spans="7:7" x14ac:dyDescent="0.3">
      <c r="G1709"/>
    </row>
    <row r="1710" spans="7:7" x14ac:dyDescent="0.3">
      <c r="G1710"/>
    </row>
    <row r="1711" spans="7:7" x14ac:dyDescent="0.3">
      <c r="G1711"/>
    </row>
    <row r="1712" spans="7:7" x14ac:dyDescent="0.3">
      <c r="G1712"/>
    </row>
    <row r="1713" spans="7:7" x14ac:dyDescent="0.3">
      <c r="G1713"/>
    </row>
    <row r="1714" spans="7:7" x14ac:dyDescent="0.3">
      <c r="G1714"/>
    </row>
    <row r="1715" spans="7:7" x14ac:dyDescent="0.3">
      <c r="G1715"/>
    </row>
    <row r="1716" spans="7:7" x14ac:dyDescent="0.3">
      <c r="G1716"/>
    </row>
    <row r="1717" spans="7:7" x14ac:dyDescent="0.3">
      <c r="G1717"/>
    </row>
    <row r="1718" spans="7:7" x14ac:dyDescent="0.3">
      <c r="G1718"/>
    </row>
    <row r="1719" spans="7:7" x14ac:dyDescent="0.3">
      <c r="G1719"/>
    </row>
    <row r="1720" spans="7:7" x14ac:dyDescent="0.3">
      <c r="G1720"/>
    </row>
    <row r="1721" spans="7:7" x14ac:dyDescent="0.3">
      <c r="G1721"/>
    </row>
    <row r="1722" spans="7:7" x14ac:dyDescent="0.3">
      <c r="G1722"/>
    </row>
    <row r="1723" spans="7:7" x14ac:dyDescent="0.3">
      <c r="G1723"/>
    </row>
    <row r="1724" spans="7:7" x14ac:dyDescent="0.3">
      <c r="G1724"/>
    </row>
    <row r="1725" spans="7:7" x14ac:dyDescent="0.3">
      <c r="G1725"/>
    </row>
    <row r="1726" spans="7:7" x14ac:dyDescent="0.3">
      <c r="G1726"/>
    </row>
    <row r="1727" spans="7:7" x14ac:dyDescent="0.3">
      <c r="G1727"/>
    </row>
    <row r="1728" spans="7:7" x14ac:dyDescent="0.3">
      <c r="G1728"/>
    </row>
    <row r="1729" spans="7:7" x14ac:dyDescent="0.3">
      <c r="G1729"/>
    </row>
    <row r="1730" spans="7:7" x14ac:dyDescent="0.3">
      <c r="G1730"/>
    </row>
    <row r="1731" spans="7:7" x14ac:dyDescent="0.3">
      <c r="G1731"/>
    </row>
    <row r="1732" spans="7:7" x14ac:dyDescent="0.3">
      <c r="G1732"/>
    </row>
    <row r="1733" spans="7:7" x14ac:dyDescent="0.3">
      <c r="G1733"/>
    </row>
    <row r="1734" spans="7:7" x14ac:dyDescent="0.3">
      <c r="G1734"/>
    </row>
    <row r="1735" spans="7:7" x14ac:dyDescent="0.3">
      <c r="G1735"/>
    </row>
    <row r="1736" spans="7:7" x14ac:dyDescent="0.3">
      <c r="G1736"/>
    </row>
    <row r="1737" spans="7:7" x14ac:dyDescent="0.3">
      <c r="G1737"/>
    </row>
    <row r="1738" spans="7:7" x14ac:dyDescent="0.3">
      <c r="G1738"/>
    </row>
    <row r="1739" spans="7:7" x14ac:dyDescent="0.3">
      <c r="G1739"/>
    </row>
    <row r="1740" spans="7:7" x14ac:dyDescent="0.3">
      <c r="G1740"/>
    </row>
    <row r="1741" spans="7:7" x14ac:dyDescent="0.3">
      <c r="G1741"/>
    </row>
    <row r="1742" spans="7:7" x14ac:dyDescent="0.3">
      <c r="G1742"/>
    </row>
    <row r="1743" spans="7:7" x14ac:dyDescent="0.3">
      <c r="G1743"/>
    </row>
    <row r="1744" spans="7:7" x14ac:dyDescent="0.3">
      <c r="G1744"/>
    </row>
    <row r="1745" spans="7:7" x14ac:dyDescent="0.3">
      <c r="G1745"/>
    </row>
    <row r="1746" spans="7:7" x14ac:dyDescent="0.3">
      <c r="G1746"/>
    </row>
    <row r="1747" spans="7:7" x14ac:dyDescent="0.3">
      <c r="G1747"/>
    </row>
    <row r="1748" spans="7:7" x14ac:dyDescent="0.3">
      <c r="G1748"/>
    </row>
    <row r="1749" spans="7:7" x14ac:dyDescent="0.3">
      <c r="G1749"/>
    </row>
    <row r="1750" spans="7:7" x14ac:dyDescent="0.3">
      <c r="G1750"/>
    </row>
    <row r="1751" spans="7:7" x14ac:dyDescent="0.3">
      <c r="G1751"/>
    </row>
    <row r="1752" spans="7:7" x14ac:dyDescent="0.3">
      <c r="G1752"/>
    </row>
    <row r="1753" spans="7:7" x14ac:dyDescent="0.3">
      <c r="G1753"/>
    </row>
    <row r="1754" spans="7:7" x14ac:dyDescent="0.3">
      <c r="G1754"/>
    </row>
    <row r="1755" spans="7:7" x14ac:dyDescent="0.3">
      <c r="G1755"/>
    </row>
    <row r="1756" spans="7:7" x14ac:dyDescent="0.3">
      <c r="G1756"/>
    </row>
    <row r="1757" spans="7:7" x14ac:dyDescent="0.3">
      <c r="G1757"/>
    </row>
    <row r="1758" spans="7:7" x14ac:dyDescent="0.3">
      <c r="G1758"/>
    </row>
    <row r="1759" spans="7:7" x14ac:dyDescent="0.3">
      <c r="G1759"/>
    </row>
    <row r="1760" spans="7:7" x14ac:dyDescent="0.3">
      <c r="G1760"/>
    </row>
    <row r="1761" spans="7:7" x14ac:dyDescent="0.3">
      <c r="G1761"/>
    </row>
    <row r="1762" spans="7:7" x14ac:dyDescent="0.3">
      <c r="G1762"/>
    </row>
    <row r="1763" spans="7:7" x14ac:dyDescent="0.3">
      <c r="G1763"/>
    </row>
    <row r="1764" spans="7:7" x14ac:dyDescent="0.3">
      <c r="G1764"/>
    </row>
    <row r="1765" spans="7:7" x14ac:dyDescent="0.3">
      <c r="G1765"/>
    </row>
    <row r="1766" spans="7:7" x14ac:dyDescent="0.3">
      <c r="G1766"/>
    </row>
    <row r="1767" spans="7:7" x14ac:dyDescent="0.3">
      <c r="G1767"/>
    </row>
    <row r="1768" spans="7:7" x14ac:dyDescent="0.3">
      <c r="G1768"/>
    </row>
    <row r="1769" spans="7:7" x14ac:dyDescent="0.3">
      <c r="G1769"/>
    </row>
    <row r="1770" spans="7:7" x14ac:dyDescent="0.3">
      <c r="G1770"/>
    </row>
    <row r="1771" spans="7:7" x14ac:dyDescent="0.3">
      <c r="G1771"/>
    </row>
    <row r="1772" spans="7:7" x14ac:dyDescent="0.3">
      <c r="G1772"/>
    </row>
    <row r="1773" spans="7:7" x14ac:dyDescent="0.3">
      <c r="G1773"/>
    </row>
    <row r="1774" spans="7:7" x14ac:dyDescent="0.3">
      <c r="G1774"/>
    </row>
    <row r="1775" spans="7:7" x14ac:dyDescent="0.3">
      <c r="G1775"/>
    </row>
    <row r="1776" spans="7:7" x14ac:dyDescent="0.3">
      <c r="G1776"/>
    </row>
    <row r="1777" spans="7:7" x14ac:dyDescent="0.3">
      <c r="G1777"/>
    </row>
    <row r="1778" spans="7:7" x14ac:dyDescent="0.3">
      <c r="G1778"/>
    </row>
    <row r="1779" spans="7:7" x14ac:dyDescent="0.3">
      <c r="G1779"/>
    </row>
    <row r="1780" spans="7:7" x14ac:dyDescent="0.3">
      <c r="G1780"/>
    </row>
    <row r="1781" spans="7:7" x14ac:dyDescent="0.3">
      <c r="G1781"/>
    </row>
    <row r="1782" spans="7:7" x14ac:dyDescent="0.3">
      <c r="G1782"/>
    </row>
    <row r="1783" spans="7:7" x14ac:dyDescent="0.3">
      <c r="G1783"/>
    </row>
    <row r="1784" spans="7:7" x14ac:dyDescent="0.3">
      <c r="G1784"/>
    </row>
    <row r="1785" spans="7:7" x14ac:dyDescent="0.3">
      <c r="G1785"/>
    </row>
    <row r="1786" spans="7:7" x14ac:dyDescent="0.3">
      <c r="G1786"/>
    </row>
    <row r="1787" spans="7:7" x14ac:dyDescent="0.3">
      <c r="G1787"/>
    </row>
    <row r="1788" spans="7:7" x14ac:dyDescent="0.3">
      <c r="G1788"/>
    </row>
    <row r="1789" spans="7:7" x14ac:dyDescent="0.3">
      <c r="G1789"/>
    </row>
    <row r="1790" spans="7:7" x14ac:dyDescent="0.3">
      <c r="G1790"/>
    </row>
    <row r="1791" spans="7:7" x14ac:dyDescent="0.3">
      <c r="G1791"/>
    </row>
    <row r="1792" spans="7:7" x14ac:dyDescent="0.3">
      <c r="G1792"/>
    </row>
    <row r="1793" spans="7:7" x14ac:dyDescent="0.3">
      <c r="G1793"/>
    </row>
    <row r="1794" spans="7:7" x14ac:dyDescent="0.3">
      <c r="G1794"/>
    </row>
    <row r="1795" spans="7:7" x14ac:dyDescent="0.3">
      <c r="G1795"/>
    </row>
    <row r="1796" spans="7:7" x14ac:dyDescent="0.3">
      <c r="G1796"/>
    </row>
    <row r="1797" spans="7:7" x14ac:dyDescent="0.3">
      <c r="G1797"/>
    </row>
    <row r="1798" spans="7:7" x14ac:dyDescent="0.3">
      <c r="G1798"/>
    </row>
    <row r="1799" spans="7:7" x14ac:dyDescent="0.3">
      <c r="G1799"/>
    </row>
    <row r="1800" spans="7:7" x14ac:dyDescent="0.3">
      <c r="G1800"/>
    </row>
    <row r="1801" spans="7:7" x14ac:dyDescent="0.3">
      <c r="G1801"/>
    </row>
    <row r="1802" spans="7:7" x14ac:dyDescent="0.3">
      <c r="G1802"/>
    </row>
    <row r="1803" spans="7:7" x14ac:dyDescent="0.3">
      <c r="G1803"/>
    </row>
    <row r="1804" spans="7:7" x14ac:dyDescent="0.3">
      <c r="G1804"/>
    </row>
    <row r="1805" spans="7:7" x14ac:dyDescent="0.3">
      <c r="G1805"/>
    </row>
    <row r="1806" spans="7:7" x14ac:dyDescent="0.3">
      <c r="G1806"/>
    </row>
    <row r="1807" spans="7:7" x14ac:dyDescent="0.3">
      <c r="G1807"/>
    </row>
    <row r="1808" spans="7:7" x14ac:dyDescent="0.3">
      <c r="G1808"/>
    </row>
    <row r="1809" spans="7:7" x14ac:dyDescent="0.3">
      <c r="G1809"/>
    </row>
    <row r="1810" spans="7:7" x14ac:dyDescent="0.3">
      <c r="G1810"/>
    </row>
    <row r="1811" spans="7:7" x14ac:dyDescent="0.3">
      <c r="G1811"/>
    </row>
    <row r="1812" spans="7:7" x14ac:dyDescent="0.3">
      <c r="G1812"/>
    </row>
    <row r="1813" spans="7:7" x14ac:dyDescent="0.3">
      <c r="G1813"/>
    </row>
    <row r="1814" spans="7:7" x14ac:dyDescent="0.3">
      <c r="G1814"/>
    </row>
    <row r="1815" spans="7:7" x14ac:dyDescent="0.3">
      <c r="G1815"/>
    </row>
    <row r="1816" spans="7:7" x14ac:dyDescent="0.3">
      <c r="G1816"/>
    </row>
    <row r="1817" spans="7:7" x14ac:dyDescent="0.3">
      <c r="G1817"/>
    </row>
    <row r="1818" spans="7:7" x14ac:dyDescent="0.3">
      <c r="G1818"/>
    </row>
    <row r="1819" spans="7:7" x14ac:dyDescent="0.3">
      <c r="G1819"/>
    </row>
    <row r="1820" spans="7:7" x14ac:dyDescent="0.3">
      <c r="G1820"/>
    </row>
    <row r="1821" spans="7:7" x14ac:dyDescent="0.3">
      <c r="G1821"/>
    </row>
    <row r="1822" spans="7:7" x14ac:dyDescent="0.3">
      <c r="G1822"/>
    </row>
    <row r="1823" spans="7:7" x14ac:dyDescent="0.3">
      <c r="G1823"/>
    </row>
    <row r="1824" spans="7:7" x14ac:dyDescent="0.3">
      <c r="G1824"/>
    </row>
    <row r="1825" spans="7:7" x14ac:dyDescent="0.3">
      <c r="G1825"/>
    </row>
    <row r="1826" spans="7:7" x14ac:dyDescent="0.3">
      <c r="G1826"/>
    </row>
    <row r="1827" spans="7:7" x14ac:dyDescent="0.3">
      <c r="G1827"/>
    </row>
    <row r="1828" spans="7:7" x14ac:dyDescent="0.3">
      <c r="G1828"/>
    </row>
    <row r="1829" spans="7:7" x14ac:dyDescent="0.3">
      <c r="G1829"/>
    </row>
    <row r="1830" spans="7:7" x14ac:dyDescent="0.3">
      <c r="G1830"/>
    </row>
    <row r="1831" spans="7:7" x14ac:dyDescent="0.3">
      <c r="G1831"/>
    </row>
    <row r="1832" spans="7:7" x14ac:dyDescent="0.3">
      <c r="G1832"/>
    </row>
    <row r="1833" spans="7:7" x14ac:dyDescent="0.3">
      <c r="G1833"/>
    </row>
    <row r="1834" spans="7:7" x14ac:dyDescent="0.3">
      <c r="G1834"/>
    </row>
    <row r="1835" spans="7:7" x14ac:dyDescent="0.3">
      <c r="G1835"/>
    </row>
    <row r="1836" spans="7:7" x14ac:dyDescent="0.3">
      <c r="G1836"/>
    </row>
    <row r="1837" spans="7:7" x14ac:dyDescent="0.3">
      <c r="G1837"/>
    </row>
    <row r="1838" spans="7:7" x14ac:dyDescent="0.3">
      <c r="G1838"/>
    </row>
    <row r="1839" spans="7:7" x14ac:dyDescent="0.3">
      <c r="G1839"/>
    </row>
    <row r="1840" spans="7:7" x14ac:dyDescent="0.3">
      <c r="G1840"/>
    </row>
    <row r="1841" spans="7:7" x14ac:dyDescent="0.3">
      <c r="G1841"/>
    </row>
    <row r="1842" spans="7:7" x14ac:dyDescent="0.3">
      <c r="G1842"/>
    </row>
    <row r="1843" spans="7:7" x14ac:dyDescent="0.3">
      <c r="G1843"/>
    </row>
    <row r="1844" spans="7:7" x14ac:dyDescent="0.3">
      <c r="G1844"/>
    </row>
    <row r="1845" spans="7:7" x14ac:dyDescent="0.3">
      <c r="G1845"/>
    </row>
    <row r="1846" spans="7:7" x14ac:dyDescent="0.3">
      <c r="G1846"/>
    </row>
    <row r="1847" spans="7:7" x14ac:dyDescent="0.3">
      <c r="G1847"/>
    </row>
    <row r="1848" spans="7:7" x14ac:dyDescent="0.3">
      <c r="G1848"/>
    </row>
    <row r="1849" spans="7:7" x14ac:dyDescent="0.3">
      <c r="G1849"/>
    </row>
    <row r="1850" spans="7:7" x14ac:dyDescent="0.3">
      <c r="G1850"/>
    </row>
    <row r="1851" spans="7:7" x14ac:dyDescent="0.3">
      <c r="G1851"/>
    </row>
    <row r="1852" spans="7:7" x14ac:dyDescent="0.3">
      <c r="G1852"/>
    </row>
    <row r="1853" spans="7:7" x14ac:dyDescent="0.3">
      <c r="G1853"/>
    </row>
    <row r="1854" spans="7:7" x14ac:dyDescent="0.3">
      <c r="G1854"/>
    </row>
    <row r="1855" spans="7:7" x14ac:dyDescent="0.3">
      <c r="G1855"/>
    </row>
    <row r="1856" spans="7:7" x14ac:dyDescent="0.3">
      <c r="G1856"/>
    </row>
    <row r="1857" spans="7:7" x14ac:dyDescent="0.3">
      <c r="G1857"/>
    </row>
    <row r="1858" spans="7:7" x14ac:dyDescent="0.3">
      <c r="G1858"/>
    </row>
    <row r="1859" spans="7:7" x14ac:dyDescent="0.3">
      <c r="G1859"/>
    </row>
    <row r="1860" spans="7:7" x14ac:dyDescent="0.3">
      <c r="G1860"/>
    </row>
    <row r="1861" spans="7:7" x14ac:dyDescent="0.3">
      <c r="G1861"/>
    </row>
    <row r="1862" spans="7:7" x14ac:dyDescent="0.3">
      <c r="G1862"/>
    </row>
    <row r="1863" spans="7:7" x14ac:dyDescent="0.3">
      <c r="G1863"/>
    </row>
    <row r="1864" spans="7:7" x14ac:dyDescent="0.3">
      <c r="G1864"/>
    </row>
    <row r="1865" spans="7:7" x14ac:dyDescent="0.3">
      <c r="G1865"/>
    </row>
    <row r="1866" spans="7:7" x14ac:dyDescent="0.3">
      <c r="G1866"/>
    </row>
    <row r="1867" spans="7:7" x14ac:dyDescent="0.3">
      <c r="G1867"/>
    </row>
    <row r="1868" spans="7:7" x14ac:dyDescent="0.3">
      <c r="G1868"/>
    </row>
    <row r="1869" spans="7:7" x14ac:dyDescent="0.3">
      <c r="G1869"/>
    </row>
    <row r="1870" spans="7:7" x14ac:dyDescent="0.3">
      <c r="G1870"/>
    </row>
    <row r="1871" spans="7:7" x14ac:dyDescent="0.3">
      <c r="G1871"/>
    </row>
    <row r="1872" spans="7:7" x14ac:dyDescent="0.3">
      <c r="G1872"/>
    </row>
    <row r="1873" spans="7:7" x14ac:dyDescent="0.3">
      <c r="G1873"/>
    </row>
    <row r="1874" spans="7:7" x14ac:dyDescent="0.3">
      <c r="G1874"/>
    </row>
    <row r="1875" spans="7:7" x14ac:dyDescent="0.3">
      <c r="G1875"/>
    </row>
    <row r="1876" spans="7:7" x14ac:dyDescent="0.3">
      <c r="G1876"/>
    </row>
    <row r="1877" spans="7:7" x14ac:dyDescent="0.3">
      <c r="G1877"/>
    </row>
    <row r="1878" spans="7:7" x14ac:dyDescent="0.3">
      <c r="G1878"/>
    </row>
    <row r="1879" spans="7:7" x14ac:dyDescent="0.3">
      <c r="G1879"/>
    </row>
    <row r="1880" spans="7:7" x14ac:dyDescent="0.3">
      <c r="G1880"/>
    </row>
    <row r="1881" spans="7:7" x14ac:dyDescent="0.3">
      <c r="G1881"/>
    </row>
    <row r="1882" spans="7:7" x14ac:dyDescent="0.3">
      <c r="G1882"/>
    </row>
    <row r="1883" spans="7:7" x14ac:dyDescent="0.3">
      <c r="G1883"/>
    </row>
    <row r="1884" spans="7:7" x14ac:dyDescent="0.3">
      <c r="G1884"/>
    </row>
    <row r="1885" spans="7:7" x14ac:dyDescent="0.3">
      <c r="G1885"/>
    </row>
    <row r="1886" spans="7:7" x14ac:dyDescent="0.3">
      <c r="G1886"/>
    </row>
    <row r="1887" spans="7:7" x14ac:dyDescent="0.3">
      <c r="G1887"/>
    </row>
    <row r="1888" spans="7:7" x14ac:dyDescent="0.3">
      <c r="G1888"/>
    </row>
    <row r="1889" spans="7:7" x14ac:dyDescent="0.3">
      <c r="G1889"/>
    </row>
    <row r="1890" spans="7:7" x14ac:dyDescent="0.3">
      <c r="G1890"/>
    </row>
    <row r="1891" spans="7:7" x14ac:dyDescent="0.3">
      <c r="G1891"/>
    </row>
    <row r="1892" spans="7:7" x14ac:dyDescent="0.3">
      <c r="G1892"/>
    </row>
    <row r="1893" spans="7:7" x14ac:dyDescent="0.3">
      <c r="G1893"/>
    </row>
    <row r="1894" spans="7:7" x14ac:dyDescent="0.3">
      <c r="G1894"/>
    </row>
    <row r="1895" spans="7:7" x14ac:dyDescent="0.3">
      <c r="G1895"/>
    </row>
    <row r="1896" spans="7:7" x14ac:dyDescent="0.3">
      <c r="G1896"/>
    </row>
    <row r="1897" spans="7:7" x14ac:dyDescent="0.3">
      <c r="G1897"/>
    </row>
    <row r="1898" spans="7:7" x14ac:dyDescent="0.3">
      <c r="G1898"/>
    </row>
    <row r="1899" spans="7:7" x14ac:dyDescent="0.3">
      <c r="G1899"/>
    </row>
    <row r="1900" spans="7:7" x14ac:dyDescent="0.3">
      <c r="G1900"/>
    </row>
    <row r="1901" spans="7:7" x14ac:dyDescent="0.3">
      <c r="G1901"/>
    </row>
    <row r="1902" spans="7:7" x14ac:dyDescent="0.3">
      <c r="G1902"/>
    </row>
    <row r="1903" spans="7:7" x14ac:dyDescent="0.3">
      <c r="G1903"/>
    </row>
    <row r="1904" spans="7:7" x14ac:dyDescent="0.3">
      <c r="G1904"/>
    </row>
    <row r="1905" spans="7:7" x14ac:dyDescent="0.3">
      <c r="G1905"/>
    </row>
    <row r="1906" spans="7:7" x14ac:dyDescent="0.3">
      <c r="G1906"/>
    </row>
    <row r="1907" spans="7:7" x14ac:dyDescent="0.3">
      <c r="G1907"/>
    </row>
    <row r="1908" spans="7:7" x14ac:dyDescent="0.3">
      <c r="G1908"/>
    </row>
    <row r="1909" spans="7:7" x14ac:dyDescent="0.3">
      <c r="G1909"/>
    </row>
    <row r="1910" spans="7:7" x14ac:dyDescent="0.3">
      <c r="G1910"/>
    </row>
    <row r="1911" spans="7:7" x14ac:dyDescent="0.3">
      <c r="G1911"/>
    </row>
    <row r="1912" spans="7:7" x14ac:dyDescent="0.3">
      <c r="G1912"/>
    </row>
    <row r="1913" spans="7:7" x14ac:dyDescent="0.3">
      <c r="G1913"/>
    </row>
    <row r="1914" spans="7:7" x14ac:dyDescent="0.3">
      <c r="G1914"/>
    </row>
    <row r="1915" spans="7:7" x14ac:dyDescent="0.3">
      <c r="G1915"/>
    </row>
    <row r="1916" spans="7:7" x14ac:dyDescent="0.3">
      <c r="G1916"/>
    </row>
    <row r="1917" spans="7:7" x14ac:dyDescent="0.3">
      <c r="G1917"/>
    </row>
    <row r="1918" spans="7:7" x14ac:dyDescent="0.3">
      <c r="G1918"/>
    </row>
    <row r="1919" spans="7:7" x14ac:dyDescent="0.3">
      <c r="G1919"/>
    </row>
    <row r="1920" spans="7:7" x14ac:dyDescent="0.3">
      <c r="G1920"/>
    </row>
    <row r="1921" spans="7:7" x14ac:dyDescent="0.3">
      <c r="G1921"/>
    </row>
    <row r="1922" spans="7:7" x14ac:dyDescent="0.3">
      <c r="G1922"/>
    </row>
    <row r="1923" spans="7:7" x14ac:dyDescent="0.3">
      <c r="G1923"/>
    </row>
    <row r="1924" spans="7:7" x14ac:dyDescent="0.3">
      <c r="G1924"/>
    </row>
    <row r="1925" spans="7:7" x14ac:dyDescent="0.3">
      <c r="G1925"/>
    </row>
    <row r="1926" spans="7:7" x14ac:dyDescent="0.3">
      <c r="G1926"/>
    </row>
    <row r="1927" spans="7:7" x14ac:dyDescent="0.3">
      <c r="G1927"/>
    </row>
    <row r="1928" spans="7:7" x14ac:dyDescent="0.3">
      <c r="G1928"/>
    </row>
    <row r="1929" spans="7:7" x14ac:dyDescent="0.3">
      <c r="G1929"/>
    </row>
    <row r="1930" spans="7:7" x14ac:dyDescent="0.3">
      <c r="G1930"/>
    </row>
    <row r="1931" spans="7:7" x14ac:dyDescent="0.3">
      <c r="G1931"/>
    </row>
    <row r="1932" spans="7:7" x14ac:dyDescent="0.3">
      <c r="G1932"/>
    </row>
    <row r="1933" spans="7:7" x14ac:dyDescent="0.3">
      <c r="G1933"/>
    </row>
    <row r="1934" spans="7:7" x14ac:dyDescent="0.3">
      <c r="G1934"/>
    </row>
    <row r="1935" spans="7:7" x14ac:dyDescent="0.3">
      <c r="G1935"/>
    </row>
    <row r="1936" spans="7:7" x14ac:dyDescent="0.3">
      <c r="G1936"/>
    </row>
    <row r="1937" spans="7:7" x14ac:dyDescent="0.3">
      <c r="G1937"/>
    </row>
    <row r="1938" spans="7:7" x14ac:dyDescent="0.3">
      <c r="G1938"/>
    </row>
    <row r="1939" spans="7:7" x14ac:dyDescent="0.3">
      <c r="G1939"/>
    </row>
    <row r="1940" spans="7:7" x14ac:dyDescent="0.3">
      <c r="G1940"/>
    </row>
    <row r="1941" spans="7:7" x14ac:dyDescent="0.3">
      <c r="G1941"/>
    </row>
    <row r="1942" spans="7:7" x14ac:dyDescent="0.3">
      <c r="G1942"/>
    </row>
    <row r="1943" spans="7:7" x14ac:dyDescent="0.3">
      <c r="G1943"/>
    </row>
    <row r="1944" spans="7:7" x14ac:dyDescent="0.3">
      <c r="G1944"/>
    </row>
    <row r="1945" spans="7:7" x14ac:dyDescent="0.3">
      <c r="G1945"/>
    </row>
    <row r="1946" spans="7:7" x14ac:dyDescent="0.3">
      <c r="G1946"/>
    </row>
    <row r="1947" spans="7:7" x14ac:dyDescent="0.3">
      <c r="G1947"/>
    </row>
    <row r="1948" spans="7:7" x14ac:dyDescent="0.3">
      <c r="G1948"/>
    </row>
    <row r="1949" spans="7:7" x14ac:dyDescent="0.3">
      <c r="G1949"/>
    </row>
    <row r="1950" spans="7:7" x14ac:dyDescent="0.3">
      <c r="G1950"/>
    </row>
    <row r="1951" spans="7:7" x14ac:dyDescent="0.3">
      <c r="G1951"/>
    </row>
    <row r="1952" spans="7:7" x14ac:dyDescent="0.3">
      <c r="G1952"/>
    </row>
    <row r="1953" spans="7:7" x14ac:dyDescent="0.3">
      <c r="G1953"/>
    </row>
    <row r="1954" spans="7:7" x14ac:dyDescent="0.3">
      <c r="G1954"/>
    </row>
    <row r="1955" spans="7:7" x14ac:dyDescent="0.3">
      <c r="G1955"/>
    </row>
    <row r="1956" spans="7:7" x14ac:dyDescent="0.3">
      <c r="G1956"/>
    </row>
    <row r="1957" spans="7:7" x14ac:dyDescent="0.3">
      <c r="G1957"/>
    </row>
    <row r="1958" spans="7:7" x14ac:dyDescent="0.3">
      <c r="G1958"/>
    </row>
    <row r="1959" spans="7:7" x14ac:dyDescent="0.3">
      <c r="G1959"/>
    </row>
    <row r="1960" spans="7:7" x14ac:dyDescent="0.3">
      <c r="G1960"/>
    </row>
    <row r="1961" spans="7:7" x14ac:dyDescent="0.3">
      <c r="G1961"/>
    </row>
    <row r="1962" spans="7:7" x14ac:dyDescent="0.3">
      <c r="G1962"/>
    </row>
    <row r="1963" spans="7:7" x14ac:dyDescent="0.3">
      <c r="G1963"/>
    </row>
    <row r="1964" spans="7:7" x14ac:dyDescent="0.3">
      <c r="G1964"/>
    </row>
    <row r="1965" spans="7:7" x14ac:dyDescent="0.3">
      <c r="G1965"/>
    </row>
    <row r="1966" spans="7:7" x14ac:dyDescent="0.3">
      <c r="G1966"/>
    </row>
    <row r="1967" spans="7:7" x14ac:dyDescent="0.3">
      <c r="G1967"/>
    </row>
    <row r="1968" spans="7:7" x14ac:dyDescent="0.3">
      <c r="G1968"/>
    </row>
    <row r="1969" spans="7:7" x14ac:dyDescent="0.3">
      <c r="G1969"/>
    </row>
    <row r="1970" spans="7:7" x14ac:dyDescent="0.3">
      <c r="G1970"/>
    </row>
    <row r="1971" spans="7:7" x14ac:dyDescent="0.3">
      <c r="G1971"/>
    </row>
    <row r="1972" spans="7:7" x14ac:dyDescent="0.3">
      <c r="G1972"/>
    </row>
    <row r="1973" spans="7:7" x14ac:dyDescent="0.3">
      <c r="G1973"/>
    </row>
    <row r="1974" spans="7:7" x14ac:dyDescent="0.3">
      <c r="G1974"/>
    </row>
    <row r="1975" spans="7:7" x14ac:dyDescent="0.3">
      <c r="G1975"/>
    </row>
    <row r="1976" spans="7:7" x14ac:dyDescent="0.3">
      <c r="G1976"/>
    </row>
    <row r="1977" spans="7:7" x14ac:dyDescent="0.3">
      <c r="G1977"/>
    </row>
    <row r="1978" spans="7:7" x14ac:dyDescent="0.3">
      <c r="G1978"/>
    </row>
    <row r="1979" spans="7:7" x14ac:dyDescent="0.3">
      <c r="G1979"/>
    </row>
    <row r="1980" spans="7:7" x14ac:dyDescent="0.3">
      <c r="G1980"/>
    </row>
    <row r="1981" spans="7:7" x14ac:dyDescent="0.3">
      <c r="G1981"/>
    </row>
    <row r="1982" spans="7:7" x14ac:dyDescent="0.3">
      <c r="G1982"/>
    </row>
    <row r="1983" spans="7:7" x14ac:dyDescent="0.3">
      <c r="G1983"/>
    </row>
    <row r="1984" spans="7:7" x14ac:dyDescent="0.3">
      <c r="G1984"/>
    </row>
    <row r="1985" spans="7:7" x14ac:dyDescent="0.3">
      <c r="G1985"/>
    </row>
    <row r="1986" spans="7:7" x14ac:dyDescent="0.3">
      <c r="G1986"/>
    </row>
    <row r="1987" spans="7:7" x14ac:dyDescent="0.3">
      <c r="G1987"/>
    </row>
    <row r="1988" spans="7:7" x14ac:dyDescent="0.3">
      <c r="G1988"/>
    </row>
    <row r="1989" spans="7:7" x14ac:dyDescent="0.3">
      <c r="G1989"/>
    </row>
    <row r="1990" spans="7:7" x14ac:dyDescent="0.3">
      <c r="G1990"/>
    </row>
    <row r="1991" spans="7:7" x14ac:dyDescent="0.3">
      <c r="G1991"/>
    </row>
    <row r="1992" spans="7:7" x14ac:dyDescent="0.3">
      <c r="G1992"/>
    </row>
    <row r="1993" spans="7:7" x14ac:dyDescent="0.3">
      <c r="G1993"/>
    </row>
    <row r="1994" spans="7:7" x14ac:dyDescent="0.3">
      <c r="G1994"/>
    </row>
    <row r="1995" spans="7:7" x14ac:dyDescent="0.3">
      <c r="G1995"/>
    </row>
    <row r="1996" spans="7:7" x14ac:dyDescent="0.3">
      <c r="G1996"/>
    </row>
    <row r="1997" spans="7:7" x14ac:dyDescent="0.3">
      <c r="G1997"/>
    </row>
    <row r="1998" spans="7:7" x14ac:dyDescent="0.3">
      <c r="G1998"/>
    </row>
    <row r="1999" spans="7:7" x14ac:dyDescent="0.3">
      <c r="G1999"/>
    </row>
    <row r="2000" spans="7:7" x14ac:dyDescent="0.3">
      <c r="G2000"/>
    </row>
    <row r="2001" spans="7:7" x14ac:dyDescent="0.3">
      <c r="G2001"/>
    </row>
    <row r="2002" spans="7:7" x14ac:dyDescent="0.3">
      <c r="G2002"/>
    </row>
    <row r="2003" spans="7:7" x14ac:dyDescent="0.3">
      <c r="G2003"/>
    </row>
    <row r="2004" spans="7:7" x14ac:dyDescent="0.3">
      <c r="G2004"/>
    </row>
    <row r="2005" spans="7:7" x14ac:dyDescent="0.3">
      <c r="G2005"/>
    </row>
    <row r="2006" spans="7:7" x14ac:dyDescent="0.3">
      <c r="G2006"/>
    </row>
    <row r="2007" spans="7:7" x14ac:dyDescent="0.3">
      <c r="G2007"/>
    </row>
    <row r="2008" spans="7:7" x14ac:dyDescent="0.3">
      <c r="G2008"/>
    </row>
    <row r="2009" spans="7:7" x14ac:dyDescent="0.3">
      <c r="G2009"/>
    </row>
    <row r="2010" spans="7:7" x14ac:dyDescent="0.3">
      <c r="G2010"/>
    </row>
    <row r="2011" spans="7:7" x14ac:dyDescent="0.3">
      <c r="G2011"/>
    </row>
    <row r="2012" spans="7:7" x14ac:dyDescent="0.3">
      <c r="G2012"/>
    </row>
    <row r="2013" spans="7:7" x14ac:dyDescent="0.3">
      <c r="G2013"/>
    </row>
    <row r="2014" spans="7:7" x14ac:dyDescent="0.3">
      <c r="G2014"/>
    </row>
    <row r="2015" spans="7:7" x14ac:dyDescent="0.3">
      <c r="G2015"/>
    </row>
    <row r="2016" spans="7:7" x14ac:dyDescent="0.3">
      <c r="G2016"/>
    </row>
    <row r="2017" spans="7:7" x14ac:dyDescent="0.3">
      <c r="G2017"/>
    </row>
    <row r="2018" spans="7:7" x14ac:dyDescent="0.3">
      <c r="G2018"/>
    </row>
    <row r="2019" spans="7:7" x14ac:dyDescent="0.3">
      <c r="G2019"/>
    </row>
    <row r="2020" spans="7:7" x14ac:dyDescent="0.3">
      <c r="G2020"/>
    </row>
    <row r="2021" spans="7:7" x14ac:dyDescent="0.3">
      <c r="G2021"/>
    </row>
    <row r="2022" spans="7:7" x14ac:dyDescent="0.3">
      <c r="G2022"/>
    </row>
    <row r="2023" spans="7:7" x14ac:dyDescent="0.3">
      <c r="G2023"/>
    </row>
    <row r="2024" spans="7:7" x14ac:dyDescent="0.3">
      <c r="G2024"/>
    </row>
    <row r="2025" spans="7:7" x14ac:dyDescent="0.3">
      <c r="G2025"/>
    </row>
    <row r="2026" spans="7:7" x14ac:dyDescent="0.3">
      <c r="G2026"/>
    </row>
    <row r="2027" spans="7:7" x14ac:dyDescent="0.3">
      <c r="G2027"/>
    </row>
    <row r="2028" spans="7:7" x14ac:dyDescent="0.3">
      <c r="G2028"/>
    </row>
    <row r="2029" spans="7:7" x14ac:dyDescent="0.3">
      <c r="G2029"/>
    </row>
    <row r="2030" spans="7:7" x14ac:dyDescent="0.3">
      <c r="G2030"/>
    </row>
    <row r="2031" spans="7:7" x14ac:dyDescent="0.3">
      <c r="G2031"/>
    </row>
    <row r="2032" spans="7:7" x14ac:dyDescent="0.3">
      <c r="G2032"/>
    </row>
    <row r="2033" spans="7:7" x14ac:dyDescent="0.3">
      <c r="G2033"/>
    </row>
    <row r="2034" spans="7:7" x14ac:dyDescent="0.3">
      <c r="G2034"/>
    </row>
    <row r="2035" spans="7:7" x14ac:dyDescent="0.3">
      <c r="G2035"/>
    </row>
    <row r="2036" spans="7:7" x14ac:dyDescent="0.3">
      <c r="G2036"/>
    </row>
    <row r="2037" spans="7:7" x14ac:dyDescent="0.3">
      <c r="G2037"/>
    </row>
    <row r="2038" spans="7:7" x14ac:dyDescent="0.3">
      <c r="G2038"/>
    </row>
    <row r="2039" spans="7:7" x14ac:dyDescent="0.3">
      <c r="G2039"/>
    </row>
    <row r="2040" spans="7:7" x14ac:dyDescent="0.3">
      <c r="G2040"/>
    </row>
    <row r="2041" spans="7:7" x14ac:dyDescent="0.3">
      <c r="G2041"/>
    </row>
    <row r="2042" spans="7:7" x14ac:dyDescent="0.3">
      <c r="G2042"/>
    </row>
    <row r="2043" spans="7:7" x14ac:dyDescent="0.3">
      <c r="G2043"/>
    </row>
    <row r="2044" spans="7:7" x14ac:dyDescent="0.3">
      <c r="G2044"/>
    </row>
    <row r="2045" spans="7:7" x14ac:dyDescent="0.3">
      <c r="G2045"/>
    </row>
    <row r="2046" spans="7:7" x14ac:dyDescent="0.3">
      <c r="G2046"/>
    </row>
    <row r="2047" spans="7:7" x14ac:dyDescent="0.3">
      <c r="G2047"/>
    </row>
    <row r="2048" spans="7:7" x14ac:dyDescent="0.3">
      <c r="G2048"/>
    </row>
    <row r="2049" spans="7:7" x14ac:dyDescent="0.3">
      <c r="G2049"/>
    </row>
    <row r="2050" spans="7:7" x14ac:dyDescent="0.3">
      <c r="G2050"/>
    </row>
    <row r="2051" spans="7:7" x14ac:dyDescent="0.3">
      <c r="G2051"/>
    </row>
    <row r="2052" spans="7:7" x14ac:dyDescent="0.3">
      <c r="G2052"/>
    </row>
    <row r="2053" spans="7:7" x14ac:dyDescent="0.3">
      <c r="G2053"/>
    </row>
    <row r="2054" spans="7:7" x14ac:dyDescent="0.3">
      <c r="G2054"/>
    </row>
    <row r="2055" spans="7:7" x14ac:dyDescent="0.3">
      <c r="G2055"/>
    </row>
    <row r="2056" spans="7:7" x14ac:dyDescent="0.3">
      <c r="G2056"/>
    </row>
    <row r="2057" spans="7:7" x14ac:dyDescent="0.3">
      <c r="G2057"/>
    </row>
    <row r="2058" spans="7:7" x14ac:dyDescent="0.3">
      <c r="G2058"/>
    </row>
    <row r="2059" spans="7:7" x14ac:dyDescent="0.3">
      <c r="G2059"/>
    </row>
    <row r="2060" spans="7:7" x14ac:dyDescent="0.3">
      <c r="G2060"/>
    </row>
    <row r="2061" spans="7:7" x14ac:dyDescent="0.3">
      <c r="G2061"/>
    </row>
    <row r="2062" spans="7:7" x14ac:dyDescent="0.3">
      <c r="G2062"/>
    </row>
    <row r="2063" spans="7:7" x14ac:dyDescent="0.3">
      <c r="G2063"/>
    </row>
    <row r="2064" spans="7:7" x14ac:dyDescent="0.3">
      <c r="G2064"/>
    </row>
    <row r="2065" spans="7:7" x14ac:dyDescent="0.3">
      <c r="G2065"/>
    </row>
    <row r="2066" spans="7:7" x14ac:dyDescent="0.3">
      <c r="G2066"/>
    </row>
    <row r="2067" spans="7:7" x14ac:dyDescent="0.3">
      <c r="G2067"/>
    </row>
    <row r="2068" spans="7:7" x14ac:dyDescent="0.3">
      <c r="G2068"/>
    </row>
    <row r="2069" spans="7:7" x14ac:dyDescent="0.3">
      <c r="G2069"/>
    </row>
    <row r="2070" spans="7:7" x14ac:dyDescent="0.3">
      <c r="G2070"/>
    </row>
    <row r="2071" spans="7:7" x14ac:dyDescent="0.3">
      <c r="G2071"/>
    </row>
    <row r="2072" spans="7:7" x14ac:dyDescent="0.3">
      <c r="G2072"/>
    </row>
    <row r="2073" spans="7:7" x14ac:dyDescent="0.3">
      <c r="G2073"/>
    </row>
    <row r="2074" spans="7:7" x14ac:dyDescent="0.3">
      <c r="G2074"/>
    </row>
    <row r="2075" spans="7:7" x14ac:dyDescent="0.3">
      <c r="G2075"/>
    </row>
    <row r="2076" spans="7:7" x14ac:dyDescent="0.3">
      <c r="G2076"/>
    </row>
    <row r="2077" spans="7:7" x14ac:dyDescent="0.3">
      <c r="G2077"/>
    </row>
    <row r="2078" spans="7:7" x14ac:dyDescent="0.3">
      <c r="G2078"/>
    </row>
    <row r="2079" spans="7:7" x14ac:dyDescent="0.3">
      <c r="G2079"/>
    </row>
    <row r="2080" spans="7:7" x14ac:dyDescent="0.3">
      <c r="G2080"/>
    </row>
    <row r="2081" spans="7:7" x14ac:dyDescent="0.3">
      <c r="G2081"/>
    </row>
    <row r="2082" spans="7:7" x14ac:dyDescent="0.3">
      <c r="G2082"/>
    </row>
    <row r="2083" spans="7:7" x14ac:dyDescent="0.3">
      <c r="G2083"/>
    </row>
    <row r="2084" spans="7:7" x14ac:dyDescent="0.3">
      <c r="G2084"/>
    </row>
    <row r="2085" spans="7:7" x14ac:dyDescent="0.3">
      <c r="G2085"/>
    </row>
    <row r="2086" spans="7:7" x14ac:dyDescent="0.3">
      <c r="G2086"/>
    </row>
    <row r="2087" spans="7:7" x14ac:dyDescent="0.3">
      <c r="G2087"/>
    </row>
    <row r="2088" spans="7:7" x14ac:dyDescent="0.3">
      <c r="G2088"/>
    </row>
    <row r="2089" spans="7:7" x14ac:dyDescent="0.3">
      <c r="G2089"/>
    </row>
    <row r="2090" spans="7:7" x14ac:dyDescent="0.3">
      <c r="G2090"/>
    </row>
    <row r="2091" spans="7:7" x14ac:dyDescent="0.3">
      <c r="G2091"/>
    </row>
    <row r="2092" spans="7:7" x14ac:dyDescent="0.3">
      <c r="G2092"/>
    </row>
    <row r="2093" spans="7:7" x14ac:dyDescent="0.3">
      <c r="G2093"/>
    </row>
    <row r="2094" spans="7:7" x14ac:dyDescent="0.3">
      <c r="G2094"/>
    </row>
    <row r="2095" spans="7:7" x14ac:dyDescent="0.3">
      <c r="G2095"/>
    </row>
    <row r="2096" spans="7:7" x14ac:dyDescent="0.3">
      <c r="G2096"/>
    </row>
    <row r="2097" spans="7:7" x14ac:dyDescent="0.3">
      <c r="G2097"/>
    </row>
    <row r="2098" spans="7:7" x14ac:dyDescent="0.3">
      <c r="G2098"/>
    </row>
    <row r="2099" spans="7:7" x14ac:dyDescent="0.3">
      <c r="G2099"/>
    </row>
    <row r="2100" spans="7:7" x14ac:dyDescent="0.3">
      <c r="G2100"/>
    </row>
    <row r="2101" spans="7:7" x14ac:dyDescent="0.3">
      <c r="G2101"/>
    </row>
    <row r="2102" spans="7:7" x14ac:dyDescent="0.3">
      <c r="G2102"/>
    </row>
    <row r="2103" spans="7:7" x14ac:dyDescent="0.3">
      <c r="G2103"/>
    </row>
    <row r="2104" spans="7:7" x14ac:dyDescent="0.3">
      <c r="G2104"/>
    </row>
    <row r="2105" spans="7:7" x14ac:dyDescent="0.3">
      <c r="G2105"/>
    </row>
    <row r="2106" spans="7:7" x14ac:dyDescent="0.3">
      <c r="G2106"/>
    </row>
    <row r="2107" spans="7:7" x14ac:dyDescent="0.3">
      <c r="G2107"/>
    </row>
    <row r="2108" spans="7:7" x14ac:dyDescent="0.3">
      <c r="G2108"/>
    </row>
    <row r="2109" spans="7:7" x14ac:dyDescent="0.3">
      <c r="G2109"/>
    </row>
    <row r="2110" spans="7:7" x14ac:dyDescent="0.3">
      <c r="G2110"/>
    </row>
    <row r="2111" spans="7:7" x14ac:dyDescent="0.3">
      <c r="G2111"/>
    </row>
    <row r="2112" spans="7:7" x14ac:dyDescent="0.3">
      <c r="G2112"/>
    </row>
    <row r="2113" spans="7:7" x14ac:dyDescent="0.3">
      <c r="G2113"/>
    </row>
    <row r="2114" spans="7:7" x14ac:dyDescent="0.3">
      <c r="G2114"/>
    </row>
    <row r="2115" spans="7:7" x14ac:dyDescent="0.3">
      <c r="G2115"/>
    </row>
    <row r="2116" spans="7:7" x14ac:dyDescent="0.3">
      <c r="G2116"/>
    </row>
    <row r="2117" spans="7:7" x14ac:dyDescent="0.3">
      <c r="G2117"/>
    </row>
    <row r="2118" spans="7:7" x14ac:dyDescent="0.3">
      <c r="G2118"/>
    </row>
    <row r="2119" spans="7:7" x14ac:dyDescent="0.3">
      <c r="G2119"/>
    </row>
    <row r="2120" spans="7:7" x14ac:dyDescent="0.3">
      <c r="G2120"/>
    </row>
    <row r="2121" spans="7:7" x14ac:dyDescent="0.3">
      <c r="G2121"/>
    </row>
    <row r="2122" spans="7:7" x14ac:dyDescent="0.3">
      <c r="G2122"/>
    </row>
    <row r="2123" spans="7:7" x14ac:dyDescent="0.3">
      <c r="G2123"/>
    </row>
    <row r="2124" spans="7:7" x14ac:dyDescent="0.3">
      <c r="G2124"/>
    </row>
    <row r="2125" spans="7:7" x14ac:dyDescent="0.3">
      <c r="G2125"/>
    </row>
    <row r="2126" spans="7:7" x14ac:dyDescent="0.3">
      <c r="G2126"/>
    </row>
    <row r="2127" spans="7:7" x14ac:dyDescent="0.3">
      <c r="G2127"/>
    </row>
    <row r="2128" spans="7:7" x14ac:dyDescent="0.3">
      <c r="G2128"/>
    </row>
    <row r="2129" spans="7:7" x14ac:dyDescent="0.3">
      <c r="G2129"/>
    </row>
    <row r="2130" spans="7:7" x14ac:dyDescent="0.3">
      <c r="G2130"/>
    </row>
    <row r="2131" spans="7:7" x14ac:dyDescent="0.3">
      <c r="G2131"/>
    </row>
    <row r="2132" spans="7:7" x14ac:dyDescent="0.3">
      <c r="G2132"/>
    </row>
    <row r="2133" spans="7:7" x14ac:dyDescent="0.3">
      <c r="G2133"/>
    </row>
    <row r="2134" spans="7:7" x14ac:dyDescent="0.3">
      <c r="G2134"/>
    </row>
    <row r="2135" spans="7:7" x14ac:dyDescent="0.3">
      <c r="G2135"/>
    </row>
    <row r="2136" spans="7:7" x14ac:dyDescent="0.3">
      <c r="G2136"/>
    </row>
    <row r="2137" spans="7:7" x14ac:dyDescent="0.3">
      <c r="G2137"/>
    </row>
    <row r="2138" spans="7:7" x14ac:dyDescent="0.3">
      <c r="G2138"/>
    </row>
    <row r="2139" spans="7:7" x14ac:dyDescent="0.3">
      <c r="G2139"/>
    </row>
    <row r="2140" spans="7:7" x14ac:dyDescent="0.3">
      <c r="G2140"/>
    </row>
    <row r="2141" spans="7:7" x14ac:dyDescent="0.3">
      <c r="G2141"/>
    </row>
    <row r="2142" spans="7:7" x14ac:dyDescent="0.3">
      <c r="G2142"/>
    </row>
    <row r="2143" spans="7:7" x14ac:dyDescent="0.3">
      <c r="G2143"/>
    </row>
    <row r="2144" spans="7:7" x14ac:dyDescent="0.3">
      <c r="G2144"/>
    </row>
    <row r="2145" spans="7:7" x14ac:dyDescent="0.3">
      <c r="G2145"/>
    </row>
    <row r="2146" spans="7:7" x14ac:dyDescent="0.3">
      <c r="G2146"/>
    </row>
    <row r="2147" spans="7:7" x14ac:dyDescent="0.3">
      <c r="G2147"/>
    </row>
    <row r="2148" spans="7:7" x14ac:dyDescent="0.3">
      <c r="G2148"/>
    </row>
    <row r="2149" spans="7:7" x14ac:dyDescent="0.3">
      <c r="G2149"/>
    </row>
    <row r="2150" spans="7:7" x14ac:dyDescent="0.3">
      <c r="G2150"/>
    </row>
    <row r="2151" spans="7:7" x14ac:dyDescent="0.3">
      <c r="G2151"/>
    </row>
    <row r="2152" spans="7:7" x14ac:dyDescent="0.3">
      <c r="G2152"/>
    </row>
    <row r="2153" spans="7:7" x14ac:dyDescent="0.3">
      <c r="G2153"/>
    </row>
    <row r="2154" spans="7:7" x14ac:dyDescent="0.3">
      <c r="G2154"/>
    </row>
    <row r="2155" spans="7:7" x14ac:dyDescent="0.3">
      <c r="G2155"/>
    </row>
    <row r="2156" spans="7:7" x14ac:dyDescent="0.3">
      <c r="G2156"/>
    </row>
    <row r="2157" spans="7:7" x14ac:dyDescent="0.3">
      <c r="G2157"/>
    </row>
    <row r="2158" spans="7:7" x14ac:dyDescent="0.3">
      <c r="G2158"/>
    </row>
    <row r="2159" spans="7:7" x14ac:dyDescent="0.3">
      <c r="G2159"/>
    </row>
    <row r="2160" spans="7:7" x14ac:dyDescent="0.3">
      <c r="G2160"/>
    </row>
    <row r="2161" spans="7:7" x14ac:dyDescent="0.3">
      <c r="G2161"/>
    </row>
    <row r="2162" spans="7:7" x14ac:dyDescent="0.3">
      <c r="G2162"/>
    </row>
    <row r="2163" spans="7:7" x14ac:dyDescent="0.3">
      <c r="G2163"/>
    </row>
    <row r="2164" spans="7:7" x14ac:dyDescent="0.3">
      <c r="G2164"/>
    </row>
    <row r="2165" spans="7:7" x14ac:dyDescent="0.3">
      <c r="G2165"/>
    </row>
    <row r="2166" spans="7:7" x14ac:dyDescent="0.3">
      <c r="G2166"/>
    </row>
    <row r="2167" spans="7:7" x14ac:dyDescent="0.3">
      <c r="G2167"/>
    </row>
    <row r="2168" spans="7:7" x14ac:dyDescent="0.3">
      <c r="G2168"/>
    </row>
    <row r="2169" spans="7:7" x14ac:dyDescent="0.3">
      <c r="G2169"/>
    </row>
    <row r="2170" spans="7:7" x14ac:dyDescent="0.3">
      <c r="G2170"/>
    </row>
    <row r="2171" spans="7:7" x14ac:dyDescent="0.3">
      <c r="G2171"/>
    </row>
    <row r="2172" spans="7:7" x14ac:dyDescent="0.3">
      <c r="G2172"/>
    </row>
    <row r="2173" spans="7:7" x14ac:dyDescent="0.3">
      <c r="G2173"/>
    </row>
    <row r="2174" spans="7:7" x14ac:dyDescent="0.3">
      <c r="G2174"/>
    </row>
    <row r="2175" spans="7:7" x14ac:dyDescent="0.3">
      <c r="G2175"/>
    </row>
    <row r="2176" spans="7:7" x14ac:dyDescent="0.3">
      <c r="G2176"/>
    </row>
    <row r="2177" spans="7:7" x14ac:dyDescent="0.3">
      <c r="G2177"/>
    </row>
    <row r="2178" spans="7:7" x14ac:dyDescent="0.3">
      <c r="G2178"/>
    </row>
    <row r="2179" spans="7:7" x14ac:dyDescent="0.3">
      <c r="G2179"/>
    </row>
    <row r="2180" spans="7:7" x14ac:dyDescent="0.3">
      <c r="G2180"/>
    </row>
    <row r="2181" spans="7:7" x14ac:dyDescent="0.3">
      <c r="G2181"/>
    </row>
    <row r="2182" spans="7:7" x14ac:dyDescent="0.3">
      <c r="G2182"/>
    </row>
    <row r="2183" spans="7:7" x14ac:dyDescent="0.3">
      <c r="G2183"/>
    </row>
    <row r="2184" spans="7:7" x14ac:dyDescent="0.3">
      <c r="G2184"/>
    </row>
    <row r="2185" spans="7:7" x14ac:dyDescent="0.3">
      <c r="G2185"/>
    </row>
    <row r="2186" spans="7:7" x14ac:dyDescent="0.3">
      <c r="G2186"/>
    </row>
    <row r="2187" spans="7:7" x14ac:dyDescent="0.3">
      <c r="G2187"/>
    </row>
    <row r="2188" spans="7:7" x14ac:dyDescent="0.3">
      <c r="G2188"/>
    </row>
    <row r="2189" spans="7:7" x14ac:dyDescent="0.3">
      <c r="G2189"/>
    </row>
    <row r="2190" spans="7:7" x14ac:dyDescent="0.3">
      <c r="G2190"/>
    </row>
    <row r="2191" spans="7:7" x14ac:dyDescent="0.3">
      <c r="G2191"/>
    </row>
    <row r="2192" spans="7:7" x14ac:dyDescent="0.3">
      <c r="G2192"/>
    </row>
    <row r="2193" spans="7:7" x14ac:dyDescent="0.3">
      <c r="G2193"/>
    </row>
    <row r="2194" spans="7:7" x14ac:dyDescent="0.3">
      <c r="G2194"/>
    </row>
    <row r="2195" spans="7:7" x14ac:dyDescent="0.3">
      <c r="G2195"/>
    </row>
    <row r="2196" spans="7:7" x14ac:dyDescent="0.3">
      <c r="G2196"/>
    </row>
    <row r="2197" spans="7:7" x14ac:dyDescent="0.3">
      <c r="G2197"/>
    </row>
    <row r="2198" spans="7:7" x14ac:dyDescent="0.3">
      <c r="G2198"/>
    </row>
    <row r="2199" spans="7:7" x14ac:dyDescent="0.3">
      <c r="G2199"/>
    </row>
    <row r="2200" spans="7:7" x14ac:dyDescent="0.3">
      <c r="G2200"/>
    </row>
    <row r="2201" spans="7:7" x14ac:dyDescent="0.3">
      <c r="G2201"/>
    </row>
    <row r="2202" spans="7:7" x14ac:dyDescent="0.3">
      <c r="G2202"/>
    </row>
    <row r="2203" spans="7:7" x14ac:dyDescent="0.3">
      <c r="G2203"/>
    </row>
    <row r="2204" spans="7:7" x14ac:dyDescent="0.3">
      <c r="G2204"/>
    </row>
    <row r="2205" spans="7:7" x14ac:dyDescent="0.3">
      <c r="G2205"/>
    </row>
    <row r="2206" spans="7:7" x14ac:dyDescent="0.3">
      <c r="G2206"/>
    </row>
    <row r="2207" spans="7:7" x14ac:dyDescent="0.3">
      <c r="G2207"/>
    </row>
    <row r="2208" spans="7:7" x14ac:dyDescent="0.3">
      <c r="G2208"/>
    </row>
    <row r="2209" spans="7:7" x14ac:dyDescent="0.3">
      <c r="G2209"/>
    </row>
    <row r="2210" spans="7:7" x14ac:dyDescent="0.3">
      <c r="G2210"/>
    </row>
    <row r="2211" spans="7:7" x14ac:dyDescent="0.3">
      <c r="G2211"/>
    </row>
    <row r="2212" spans="7:7" x14ac:dyDescent="0.3">
      <c r="G2212"/>
    </row>
    <row r="2213" spans="7:7" x14ac:dyDescent="0.3">
      <c r="G2213"/>
    </row>
    <row r="2214" spans="7:7" x14ac:dyDescent="0.3">
      <c r="G2214"/>
    </row>
    <row r="2215" spans="7:7" x14ac:dyDescent="0.3">
      <c r="G2215"/>
    </row>
    <row r="2216" spans="7:7" x14ac:dyDescent="0.3">
      <c r="G2216"/>
    </row>
    <row r="2217" spans="7:7" x14ac:dyDescent="0.3">
      <c r="G2217"/>
    </row>
    <row r="2218" spans="7:7" x14ac:dyDescent="0.3">
      <c r="G2218"/>
    </row>
    <row r="2219" spans="7:7" x14ac:dyDescent="0.3">
      <c r="G2219"/>
    </row>
    <row r="2220" spans="7:7" x14ac:dyDescent="0.3">
      <c r="G2220"/>
    </row>
    <row r="2221" spans="7:7" x14ac:dyDescent="0.3">
      <c r="G2221"/>
    </row>
    <row r="2222" spans="7:7" x14ac:dyDescent="0.3">
      <c r="G2222"/>
    </row>
    <row r="2223" spans="7:7" x14ac:dyDescent="0.3">
      <c r="G2223"/>
    </row>
    <row r="2224" spans="7:7" x14ac:dyDescent="0.3">
      <c r="G2224"/>
    </row>
    <row r="2225" spans="7:7" x14ac:dyDescent="0.3">
      <c r="G2225"/>
    </row>
    <row r="2226" spans="7:7" x14ac:dyDescent="0.3">
      <c r="G2226"/>
    </row>
    <row r="2227" spans="7:7" x14ac:dyDescent="0.3">
      <c r="G2227"/>
    </row>
    <row r="2228" spans="7:7" x14ac:dyDescent="0.3">
      <c r="G2228"/>
    </row>
    <row r="2229" spans="7:7" x14ac:dyDescent="0.3">
      <c r="G2229"/>
    </row>
    <row r="2230" spans="7:7" x14ac:dyDescent="0.3">
      <c r="G2230"/>
    </row>
    <row r="2231" spans="7:7" x14ac:dyDescent="0.3">
      <c r="G2231"/>
    </row>
    <row r="2232" spans="7:7" x14ac:dyDescent="0.3">
      <c r="G2232"/>
    </row>
    <row r="2233" spans="7:7" x14ac:dyDescent="0.3">
      <c r="G2233"/>
    </row>
    <row r="2234" spans="7:7" x14ac:dyDescent="0.3">
      <c r="G2234"/>
    </row>
    <row r="2235" spans="7:7" x14ac:dyDescent="0.3">
      <c r="G2235"/>
    </row>
    <row r="2236" spans="7:7" x14ac:dyDescent="0.3">
      <c r="G2236"/>
    </row>
    <row r="2237" spans="7:7" x14ac:dyDescent="0.3">
      <c r="G2237"/>
    </row>
    <row r="2238" spans="7:7" x14ac:dyDescent="0.3">
      <c r="G2238"/>
    </row>
    <row r="2239" spans="7:7" x14ac:dyDescent="0.3">
      <c r="G2239"/>
    </row>
    <row r="2240" spans="7:7" x14ac:dyDescent="0.3">
      <c r="G2240"/>
    </row>
    <row r="2241" spans="7:7" x14ac:dyDescent="0.3">
      <c r="G2241"/>
    </row>
    <row r="2242" spans="7:7" x14ac:dyDescent="0.3">
      <c r="G2242"/>
    </row>
    <row r="2243" spans="7:7" x14ac:dyDescent="0.3">
      <c r="G2243"/>
    </row>
    <row r="2244" spans="7:7" x14ac:dyDescent="0.3">
      <c r="G2244"/>
    </row>
    <row r="2245" spans="7:7" x14ac:dyDescent="0.3">
      <c r="G2245"/>
    </row>
    <row r="2246" spans="7:7" x14ac:dyDescent="0.3">
      <c r="G2246"/>
    </row>
    <row r="2247" spans="7:7" x14ac:dyDescent="0.3">
      <c r="G2247"/>
    </row>
    <row r="2248" spans="7:7" x14ac:dyDescent="0.3">
      <c r="G2248"/>
    </row>
    <row r="2249" spans="7:7" x14ac:dyDescent="0.3">
      <c r="G2249"/>
    </row>
    <row r="2250" spans="7:7" x14ac:dyDescent="0.3">
      <c r="G2250"/>
    </row>
    <row r="2251" spans="7:7" x14ac:dyDescent="0.3">
      <c r="G2251"/>
    </row>
    <row r="2252" spans="7:7" x14ac:dyDescent="0.3">
      <c r="G2252"/>
    </row>
    <row r="2253" spans="7:7" x14ac:dyDescent="0.3">
      <c r="G2253"/>
    </row>
    <row r="2254" spans="7:7" x14ac:dyDescent="0.3">
      <c r="G2254"/>
    </row>
    <row r="2255" spans="7:7" x14ac:dyDescent="0.3">
      <c r="G2255"/>
    </row>
    <row r="2256" spans="7:7" x14ac:dyDescent="0.3">
      <c r="G2256"/>
    </row>
    <row r="2257" spans="7:7" x14ac:dyDescent="0.3">
      <c r="G2257"/>
    </row>
    <row r="2258" spans="7:7" x14ac:dyDescent="0.3">
      <c r="G2258"/>
    </row>
    <row r="2259" spans="7:7" x14ac:dyDescent="0.3">
      <c r="G2259"/>
    </row>
    <row r="2260" spans="7:7" x14ac:dyDescent="0.3">
      <c r="G2260"/>
    </row>
    <row r="2261" spans="7:7" x14ac:dyDescent="0.3">
      <c r="G2261"/>
    </row>
    <row r="2262" spans="7:7" x14ac:dyDescent="0.3">
      <c r="G2262"/>
    </row>
    <row r="2263" spans="7:7" x14ac:dyDescent="0.3">
      <c r="G2263"/>
    </row>
    <row r="2264" spans="7:7" x14ac:dyDescent="0.3">
      <c r="G2264"/>
    </row>
    <row r="2265" spans="7:7" x14ac:dyDescent="0.3">
      <c r="G2265"/>
    </row>
    <row r="2266" spans="7:7" x14ac:dyDescent="0.3">
      <c r="G2266"/>
    </row>
    <row r="2267" spans="7:7" x14ac:dyDescent="0.3">
      <c r="G2267"/>
    </row>
    <row r="2268" spans="7:7" x14ac:dyDescent="0.3">
      <c r="G2268"/>
    </row>
    <row r="2269" spans="7:7" x14ac:dyDescent="0.3">
      <c r="G2269"/>
    </row>
    <row r="2270" spans="7:7" x14ac:dyDescent="0.3">
      <c r="G2270"/>
    </row>
    <row r="2271" spans="7:7" x14ac:dyDescent="0.3">
      <c r="G2271"/>
    </row>
    <row r="2272" spans="7:7" x14ac:dyDescent="0.3">
      <c r="G2272"/>
    </row>
    <row r="2273" spans="7:7" x14ac:dyDescent="0.3">
      <c r="G2273"/>
    </row>
    <row r="2274" spans="7:7" x14ac:dyDescent="0.3">
      <c r="G2274"/>
    </row>
    <row r="2275" spans="7:7" x14ac:dyDescent="0.3">
      <c r="G2275"/>
    </row>
    <row r="2276" spans="7:7" x14ac:dyDescent="0.3">
      <c r="G2276"/>
    </row>
    <row r="2277" spans="7:7" x14ac:dyDescent="0.3">
      <c r="G2277"/>
    </row>
    <row r="2278" spans="7:7" x14ac:dyDescent="0.3">
      <c r="G2278"/>
    </row>
    <row r="2279" spans="7:7" x14ac:dyDescent="0.3">
      <c r="G2279"/>
    </row>
    <row r="2280" spans="7:7" x14ac:dyDescent="0.3">
      <c r="G2280"/>
    </row>
    <row r="2281" spans="7:7" x14ac:dyDescent="0.3">
      <c r="G2281"/>
    </row>
    <row r="2282" spans="7:7" x14ac:dyDescent="0.3">
      <c r="G2282"/>
    </row>
    <row r="2283" spans="7:7" x14ac:dyDescent="0.3">
      <c r="G2283"/>
    </row>
    <row r="2284" spans="7:7" x14ac:dyDescent="0.3">
      <c r="G2284"/>
    </row>
    <row r="2285" spans="7:7" x14ac:dyDescent="0.3">
      <c r="G2285"/>
    </row>
    <row r="2286" spans="7:7" x14ac:dyDescent="0.3">
      <c r="G2286"/>
    </row>
    <row r="2287" spans="7:7" x14ac:dyDescent="0.3">
      <c r="G2287"/>
    </row>
    <row r="2288" spans="7:7" x14ac:dyDescent="0.3">
      <c r="G2288"/>
    </row>
    <row r="2289" spans="7:7" x14ac:dyDescent="0.3">
      <c r="G2289"/>
    </row>
    <row r="2290" spans="7:7" x14ac:dyDescent="0.3">
      <c r="G2290"/>
    </row>
    <row r="2291" spans="7:7" x14ac:dyDescent="0.3">
      <c r="G2291"/>
    </row>
    <row r="2292" spans="7:7" x14ac:dyDescent="0.3">
      <c r="G2292"/>
    </row>
    <row r="2293" spans="7:7" x14ac:dyDescent="0.3">
      <c r="G2293"/>
    </row>
    <row r="2294" spans="7:7" x14ac:dyDescent="0.3">
      <c r="G2294"/>
    </row>
    <row r="2295" spans="7:7" x14ac:dyDescent="0.3">
      <c r="G2295"/>
    </row>
    <row r="2296" spans="7:7" x14ac:dyDescent="0.3">
      <c r="G2296"/>
    </row>
    <row r="2297" spans="7:7" x14ac:dyDescent="0.3">
      <c r="G2297"/>
    </row>
    <row r="2298" spans="7:7" x14ac:dyDescent="0.3">
      <c r="G2298"/>
    </row>
    <row r="2299" spans="7:7" x14ac:dyDescent="0.3">
      <c r="G2299"/>
    </row>
    <row r="2300" spans="7:7" x14ac:dyDescent="0.3">
      <c r="G2300"/>
    </row>
    <row r="2301" spans="7:7" x14ac:dyDescent="0.3">
      <c r="G2301"/>
    </row>
    <row r="2302" spans="7:7" x14ac:dyDescent="0.3">
      <c r="G2302"/>
    </row>
    <row r="2303" spans="7:7" x14ac:dyDescent="0.3">
      <c r="G2303"/>
    </row>
    <row r="2304" spans="7:7" x14ac:dyDescent="0.3">
      <c r="G2304"/>
    </row>
    <row r="2305" spans="7:7" x14ac:dyDescent="0.3">
      <c r="G2305"/>
    </row>
    <row r="2306" spans="7:7" x14ac:dyDescent="0.3">
      <c r="G2306"/>
    </row>
    <row r="2307" spans="7:7" x14ac:dyDescent="0.3">
      <c r="G2307"/>
    </row>
    <row r="2308" spans="7:7" x14ac:dyDescent="0.3">
      <c r="G2308"/>
    </row>
    <row r="2309" spans="7:7" x14ac:dyDescent="0.3">
      <c r="G2309"/>
    </row>
    <row r="2310" spans="7:7" x14ac:dyDescent="0.3">
      <c r="G2310"/>
    </row>
    <row r="2311" spans="7:7" x14ac:dyDescent="0.3">
      <c r="G2311"/>
    </row>
    <row r="2312" spans="7:7" x14ac:dyDescent="0.3">
      <c r="G2312"/>
    </row>
    <row r="2313" spans="7:7" x14ac:dyDescent="0.3">
      <c r="G2313"/>
    </row>
    <row r="2314" spans="7:7" x14ac:dyDescent="0.3">
      <c r="G2314"/>
    </row>
    <row r="2315" spans="7:7" x14ac:dyDescent="0.3">
      <c r="G2315"/>
    </row>
    <row r="2316" spans="7:7" x14ac:dyDescent="0.3">
      <c r="G2316"/>
    </row>
    <row r="2317" spans="7:7" x14ac:dyDescent="0.3">
      <c r="G2317"/>
    </row>
    <row r="2318" spans="7:7" x14ac:dyDescent="0.3">
      <c r="G2318"/>
    </row>
    <row r="2319" spans="7:7" x14ac:dyDescent="0.3">
      <c r="G2319"/>
    </row>
    <row r="2320" spans="7:7" x14ac:dyDescent="0.3">
      <c r="G2320"/>
    </row>
    <row r="2321" spans="7:7" x14ac:dyDescent="0.3">
      <c r="G2321"/>
    </row>
    <row r="2322" spans="7:7" x14ac:dyDescent="0.3">
      <c r="G2322"/>
    </row>
    <row r="2323" spans="7:7" x14ac:dyDescent="0.3">
      <c r="G2323"/>
    </row>
    <row r="2324" spans="7:7" x14ac:dyDescent="0.3">
      <c r="G2324"/>
    </row>
    <row r="2325" spans="7:7" x14ac:dyDescent="0.3">
      <c r="G2325"/>
    </row>
    <row r="2326" spans="7:7" x14ac:dyDescent="0.3">
      <c r="G2326"/>
    </row>
    <row r="2327" spans="7:7" x14ac:dyDescent="0.3">
      <c r="G2327"/>
    </row>
    <row r="2328" spans="7:7" x14ac:dyDescent="0.3">
      <c r="G2328"/>
    </row>
    <row r="2329" spans="7:7" x14ac:dyDescent="0.3">
      <c r="G2329"/>
    </row>
    <row r="2330" spans="7:7" x14ac:dyDescent="0.3">
      <c r="G2330"/>
    </row>
    <row r="2331" spans="7:7" x14ac:dyDescent="0.3">
      <c r="G2331"/>
    </row>
    <row r="2332" spans="7:7" x14ac:dyDescent="0.3">
      <c r="G2332"/>
    </row>
    <row r="2333" spans="7:7" x14ac:dyDescent="0.3">
      <c r="G2333"/>
    </row>
    <row r="2334" spans="7:7" x14ac:dyDescent="0.3">
      <c r="G2334"/>
    </row>
    <row r="2335" spans="7:7" x14ac:dyDescent="0.3">
      <c r="G2335"/>
    </row>
    <row r="2336" spans="7:7" x14ac:dyDescent="0.3">
      <c r="G2336"/>
    </row>
    <row r="2337" spans="7:7" x14ac:dyDescent="0.3">
      <c r="G2337"/>
    </row>
    <row r="2338" spans="7:7" x14ac:dyDescent="0.3">
      <c r="G2338"/>
    </row>
    <row r="2339" spans="7:7" x14ac:dyDescent="0.3">
      <c r="G2339"/>
    </row>
    <row r="2340" spans="7:7" x14ac:dyDescent="0.3">
      <c r="G2340"/>
    </row>
    <row r="2341" spans="7:7" x14ac:dyDescent="0.3">
      <c r="G2341"/>
    </row>
    <row r="2342" spans="7:7" x14ac:dyDescent="0.3">
      <c r="G2342"/>
    </row>
    <row r="2343" spans="7:7" x14ac:dyDescent="0.3">
      <c r="G2343"/>
    </row>
    <row r="2344" spans="7:7" x14ac:dyDescent="0.3">
      <c r="G2344"/>
    </row>
    <row r="2345" spans="7:7" x14ac:dyDescent="0.3">
      <c r="G2345"/>
    </row>
    <row r="2346" spans="7:7" x14ac:dyDescent="0.3">
      <c r="G2346"/>
    </row>
    <row r="2347" spans="7:7" x14ac:dyDescent="0.3">
      <c r="G2347"/>
    </row>
    <row r="2348" spans="7:7" x14ac:dyDescent="0.3">
      <c r="G2348"/>
    </row>
    <row r="2349" spans="7:7" x14ac:dyDescent="0.3">
      <c r="G2349"/>
    </row>
    <row r="2350" spans="7:7" x14ac:dyDescent="0.3">
      <c r="G2350"/>
    </row>
    <row r="2351" spans="7:7" x14ac:dyDescent="0.3">
      <c r="G2351"/>
    </row>
    <row r="2352" spans="7:7" x14ac:dyDescent="0.3">
      <c r="G2352"/>
    </row>
    <row r="2353" spans="7:7" x14ac:dyDescent="0.3">
      <c r="G2353"/>
    </row>
    <row r="2354" spans="7:7" x14ac:dyDescent="0.3">
      <c r="G2354"/>
    </row>
    <row r="2355" spans="7:7" x14ac:dyDescent="0.3">
      <c r="G2355"/>
    </row>
    <row r="2356" spans="7:7" x14ac:dyDescent="0.3">
      <c r="G2356"/>
    </row>
    <row r="2357" spans="7:7" x14ac:dyDescent="0.3">
      <c r="G2357"/>
    </row>
    <row r="2358" spans="7:7" x14ac:dyDescent="0.3">
      <c r="G2358"/>
    </row>
    <row r="2359" spans="7:7" x14ac:dyDescent="0.3">
      <c r="G2359"/>
    </row>
    <row r="2360" spans="7:7" x14ac:dyDescent="0.3">
      <c r="G2360"/>
    </row>
    <row r="2361" spans="7:7" x14ac:dyDescent="0.3">
      <c r="G2361"/>
    </row>
    <row r="2362" spans="7:7" x14ac:dyDescent="0.3">
      <c r="G2362"/>
    </row>
    <row r="2363" spans="7:7" x14ac:dyDescent="0.3">
      <c r="G2363"/>
    </row>
    <row r="2364" spans="7:7" x14ac:dyDescent="0.3">
      <c r="G2364"/>
    </row>
    <row r="2365" spans="7:7" x14ac:dyDescent="0.3">
      <c r="G2365"/>
    </row>
    <row r="2366" spans="7:7" x14ac:dyDescent="0.3">
      <c r="G2366"/>
    </row>
    <row r="2367" spans="7:7" x14ac:dyDescent="0.3">
      <c r="G2367"/>
    </row>
    <row r="2368" spans="7:7" x14ac:dyDescent="0.3">
      <c r="G2368"/>
    </row>
    <row r="2369" spans="7:7" x14ac:dyDescent="0.3">
      <c r="G2369"/>
    </row>
    <row r="2370" spans="7:7" x14ac:dyDescent="0.3">
      <c r="G2370"/>
    </row>
    <row r="2371" spans="7:7" x14ac:dyDescent="0.3">
      <c r="G2371"/>
    </row>
    <row r="2372" spans="7:7" x14ac:dyDescent="0.3">
      <c r="G2372"/>
    </row>
    <row r="2373" spans="7:7" x14ac:dyDescent="0.3">
      <c r="G2373"/>
    </row>
    <row r="2374" spans="7:7" x14ac:dyDescent="0.3">
      <c r="G2374"/>
    </row>
    <row r="2375" spans="7:7" x14ac:dyDescent="0.3">
      <c r="G2375"/>
    </row>
    <row r="2376" spans="7:7" x14ac:dyDescent="0.3">
      <c r="G2376"/>
    </row>
    <row r="2377" spans="7:7" x14ac:dyDescent="0.3">
      <c r="G2377"/>
    </row>
    <row r="2378" spans="7:7" x14ac:dyDescent="0.3">
      <c r="G2378"/>
    </row>
    <row r="2379" spans="7:7" x14ac:dyDescent="0.3">
      <c r="G2379"/>
    </row>
    <row r="2380" spans="7:7" x14ac:dyDescent="0.3">
      <c r="G2380"/>
    </row>
    <row r="2381" spans="7:7" x14ac:dyDescent="0.3">
      <c r="G2381"/>
    </row>
    <row r="2382" spans="7:7" x14ac:dyDescent="0.3">
      <c r="G2382"/>
    </row>
    <row r="2383" spans="7:7" x14ac:dyDescent="0.3">
      <c r="G2383"/>
    </row>
    <row r="2384" spans="7:7" x14ac:dyDescent="0.3">
      <c r="G2384"/>
    </row>
    <row r="2385" spans="7:7" x14ac:dyDescent="0.3">
      <c r="G2385"/>
    </row>
    <row r="2386" spans="7:7" x14ac:dyDescent="0.3">
      <c r="G2386"/>
    </row>
    <row r="2387" spans="7:7" x14ac:dyDescent="0.3">
      <c r="G2387"/>
    </row>
    <row r="2388" spans="7:7" x14ac:dyDescent="0.3">
      <c r="G2388"/>
    </row>
    <row r="2389" spans="7:7" x14ac:dyDescent="0.3">
      <c r="G2389"/>
    </row>
    <row r="2390" spans="7:7" x14ac:dyDescent="0.3">
      <c r="G2390"/>
    </row>
    <row r="2391" spans="7:7" x14ac:dyDescent="0.3">
      <c r="G2391"/>
    </row>
    <row r="2392" spans="7:7" x14ac:dyDescent="0.3">
      <c r="G2392"/>
    </row>
    <row r="2393" spans="7:7" x14ac:dyDescent="0.3">
      <c r="G2393"/>
    </row>
    <row r="2394" spans="7:7" x14ac:dyDescent="0.3">
      <c r="G2394"/>
    </row>
    <row r="2395" spans="7:7" x14ac:dyDescent="0.3">
      <c r="G2395"/>
    </row>
    <row r="2396" spans="7:7" x14ac:dyDescent="0.3">
      <c r="G2396"/>
    </row>
    <row r="2397" spans="7:7" x14ac:dyDescent="0.3">
      <c r="G2397"/>
    </row>
    <row r="2398" spans="7:7" x14ac:dyDescent="0.3">
      <c r="G2398"/>
    </row>
    <row r="2399" spans="7:7" x14ac:dyDescent="0.3">
      <c r="G2399"/>
    </row>
    <row r="2400" spans="7:7" x14ac:dyDescent="0.3">
      <c r="G2400"/>
    </row>
    <row r="2401" spans="7:7" x14ac:dyDescent="0.3">
      <c r="G2401"/>
    </row>
    <row r="2402" spans="7:7" x14ac:dyDescent="0.3">
      <c r="G2402"/>
    </row>
    <row r="2403" spans="7:7" x14ac:dyDescent="0.3">
      <c r="G2403"/>
    </row>
    <row r="2404" spans="7:7" x14ac:dyDescent="0.3">
      <c r="G2404"/>
    </row>
    <row r="2405" spans="7:7" x14ac:dyDescent="0.3">
      <c r="G2405"/>
    </row>
    <row r="2406" spans="7:7" x14ac:dyDescent="0.3">
      <c r="G2406"/>
    </row>
    <row r="2407" spans="7:7" x14ac:dyDescent="0.3">
      <c r="G2407"/>
    </row>
    <row r="2408" spans="7:7" x14ac:dyDescent="0.3">
      <c r="G2408"/>
    </row>
    <row r="2409" spans="7:7" x14ac:dyDescent="0.3">
      <c r="G2409"/>
    </row>
    <row r="2410" spans="7:7" x14ac:dyDescent="0.3">
      <c r="G2410"/>
    </row>
    <row r="2411" spans="7:7" x14ac:dyDescent="0.3">
      <c r="G2411"/>
    </row>
    <row r="2412" spans="7:7" x14ac:dyDescent="0.3">
      <c r="G2412"/>
    </row>
    <row r="2413" spans="7:7" x14ac:dyDescent="0.3">
      <c r="G2413"/>
    </row>
    <row r="2414" spans="7:7" x14ac:dyDescent="0.3">
      <c r="G2414"/>
    </row>
    <row r="2415" spans="7:7" x14ac:dyDescent="0.3">
      <c r="G2415"/>
    </row>
    <row r="2416" spans="7:7" x14ac:dyDescent="0.3">
      <c r="G2416"/>
    </row>
    <row r="2417" spans="7:7" x14ac:dyDescent="0.3">
      <c r="G2417"/>
    </row>
    <row r="2418" spans="7:7" x14ac:dyDescent="0.3">
      <c r="G2418"/>
    </row>
    <row r="2419" spans="7:7" x14ac:dyDescent="0.3">
      <c r="G2419"/>
    </row>
    <row r="2420" spans="7:7" x14ac:dyDescent="0.3">
      <c r="G2420"/>
    </row>
    <row r="2421" spans="7:7" x14ac:dyDescent="0.3">
      <c r="G2421"/>
    </row>
    <row r="2422" spans="7:7" x14ac:dyDescent="0.3">
      <c r="G2422"/>
    </row>
    <row r="2423" spans="7:7" x14ac:dyDescent="0.3">
      <c r="G2423"/>
    </row>
    <row r="2424" spans="7:7" x14ac:dyDescent="0.3">
      <c r="G2424"/>
    </row>
    <row r="2425" spans="7:7" x14ac:dyDescent="0.3">
      <c r="G2425"/>
    </row>
    <row r="2426" spans="7:7" x14ac:dyDescent="0.3">
      <c r="G2426"/>
    </row>
    <row r="2427" spans="7:7" x14ac:dyDescent="0.3">
      <c r="G2427"/>
    </row>
    <row r="2428" spans="7:7" x14ac:dyDescent="0.3">
      <c r="G2428"/>
    </row>
    <row r="2429" spans="7:7" x14ac:dyDescent="0.3">
      <c r="G2429"/>
    </row>
    <row r="2430" spans="7:7" x14ac:dyDescent="0.3">
      <c r="G2430"/>
    </row>
    <row r="2431" spans="7:7" x14ac:dyDescent="0.3">
      <c r="G2431"/>
    </row>
    <row r="2432" spans="7:7" x14ac:dyDescent="0.3">
      <c r="G2432"/>
    </row>
    <row r="2433" spans="7:7" x14ac:dyDescent="0.3">
      <c r="G2433"/>
    </row>
    <row r="2434" spans="7:7" x14ac:dyDescent="0.3">
      <c r="G2434"/>
    </row>
    <row r="2435" spans="7:7" x14ac:dyDescent="0.3">
      <c r="G2435"/>
    </row>
    <row r="2436" spans="7:7" x14ac:dyDescent="0.3">
      <c r="G2436"/>
    </row>
    <row r="2437" spans="7:7" x14ac:dyDescent="0.3">
      <c r="G2437"/>
    </row>
    <row r="2438" spans="7:7" x14ac:dyDescent="0.3">
      <c r="G2438"/>
    </row>
    <row r="2439" spans="7:7" x14ac:dyDescent="0.3">
      <c r="G2439"/>
    </row>
    <row r="2440" spans="7:7" x14ac:dyDescent="0.3">
      <c r="G2440"/>
    </row>
    <row r="2441" spans="7:7" x14ac:dyDescent="0.3">
      <c r="G2441"/>
    </row>
    <row r="2442" spans="7:7" x14ac:dyDescent="0.3">
      <c r="G2442"/>
    </row>
    <row r="2443" spans="7:7" x14ac:dyDescent="0.3">
      <c r="G2443"/>
    </row>
    <row r="2444" spans="7:7" x14ac:dyDescent="0.3">
      <c r="G2444"/>
    </row>
    <row r="2445" spans="7:7" x14ac:dyDescent="0.3">
      <c r="G2445"/>
    </row>
    <row r="2446" spans="7:7" x14ac:dyDescent="0.3">
      <c r="G2446"/>
    </row>
    <row r="2447" spans="7:7" x14ac:dyDescent="0.3">
      <c r="G2447"/>
    </row>
    <row r="2448" spans="7:7" x14ac:dyDescent="0.3">
      <c r="G2448"/>
    </row>
    <row r="2449" spans="7:7" x14ac:dyDescent="0.3">
      <c r="G2449"/>
    </row>
    <row r="2450" spans="7:7" x14ac:dyDescent="0.3">
      <c r="G2450"/>
    </row>
    <row r="2451" spans="7:7" x14ac:dyDescent="0.3">
      <c r="G2451"/>
    </row>
    <row r="2452" spans="7:7" x14ac:dyDescent="0.3">
      <c r="G2452"/>
    </row>
    <row r="2453" spans="7:7" x14ac:dyDescent="0.3">
      <c r="G2453"/>
    </row>
    <row r="2454" spans="7:7" x14ac:dyDescent="0.3">
      <c r="G2454"/>
    </row>
    <row r="2455" spans="7:7" x14ac:dyDescent="0.3">
      <c r="G2455"/>
    </row>
    <row r="2456" spans="7:7" x14ac:dyDescent="0.3">
      <c r="G2456"/>
    </row>
    <row r="2457" spans="7:7" x14ac:dyDescent="0.3">
      <c r="G2457"/>
    </row>
    <row r="2458" spans="7:7" x14ac:dyDescent="0.3">
      <c r="G2458"/>
    </row>
    <row r="2459" spans="7:7" x14ac:dyDescent="0.3">
      <c r="G2459"/>
    </row>
    <row r="2460" spans="7:7" x14ac:dyDescent="0.3">
      <c r="G2460"/>
    </row>
    <row r="2461" spans="7:7" x14ac:dyDescent="0.3">
      <c r="G2461"/>
    </row>
    <row r="2462" spans="7:7" x14ac:dyDescent="0.3">
      <c r="G2462"/>
    </row>
    <row r="2463" spans="7:7" x14ac:dyDescent="0.3">
      <c r="G2463"/>
    </row>
    <row r="2464" spans="7:7" x14ac:dyDescent="0.3">
      <c r="G2464"/>
    </row>
    <row r="2465" spans="7:7" x14ac:dyDescent="0.3">
      <c r="G2465"/>
    </row>
    <row r="2466" spans="7:7" x14ac:dyDescent="0.3">
      <c r="G2466"/>
    </row>
    <row r="2467" spans="7:7" x14ac:dyDescent="0.3">
      <c r="G2467"/>
    </row>
    <row r="2468" spans="7:7" x14ac:dyDescent="0.3">
      <c r="G2468"/>
    </row>
    <row r="2469" spans="7:7" x14ac:dyDescent="0.3">
      <c r="G2469"/>
    </row>
    <row r="2470" spans="7:7" x14ac:dyDescent="0.3">
      <c r="G2470"/>
    </row>
    <row r="2471" spans="7:7" x14ac:dyDescent="0.3">
      <c r="G2471"/>
    </row>
    <row r="2472" spans="7:7" x14ac:dyDescent="0.3">
      <c r="G2472"/>
    </row>
    <row r="2473" spans="7:7" x14ac:dyDescent="0.3">
      <c r="G2473"/>
    </row>
    <row r="2474" spans="7:7" x14ac:dyDescent="0.3">
      <c r="G2474"/>
    </row>
    <row r="2475" spans="7:7" x14ac:dyDescent="0.3">
      <c r="G2475"/>
    </row>
    <row r="2476" spans="7:7" x14ac:dyDescent="0.3">
      <c r="G2476"/>
    </row>
    <row r="2477" spans="7:7" x14ac:dyDescent="0.3">
      <c r="G2477"/>
    </row>
    <row r="2478" spans="7:7" x14ac:dyDescent="0.3">
      <c r="G2478"/>
    </row>
    <row r="2479" spans="7:7" x14ac:dyDescent="0.3">
      <c r="G2479"/>
    </row>
    <row r="2480" spans="7:7" x14ac:dyDescent="0.3">
      <c r="G2480"/>
    </row>
    <row r="2481" spans="7:7" x14ac:dyDescent="0.3">
      <c r="G2481"/>
    </row>
    <row r="2482" spans="7:7" x14ac:dyDescent="0.3">
      <c r="G2482"/>
    </row>
    <row r="2483" spans="7:7" x14ac:dyDescent="0.3">
      <c r="G2483"/>
    </row>
    <row r="2484" spans="7:7" x14ac:dyDescent="0.3">
      <c r="G2484"/>
    </row>
    <row r="2485" spans="7:7" x14ac:dyDescent="0.3">
      <c r="G2485"/>
    </row>
    <row r="2486" spans="7:7" x14ac:dyDescent="0.3">
      <c r="G2486"/>
    </row>
    <row r="2487" spans="7:7" x14ac:dyDescent="0.3">
      <c r="G2487"/>
    </row>
    <row r="2488" spans="7:7" x14ac:dyDescent="0.3">
      <c r="G2488"/>
    </row>
    <row r="2489" spans="7:7" x14ac:dyDescent="0.3">
      <c r="G2489"/>
    </row>
    <row r="2490" spans="7:7" x14ac:dyDescent="0.3">
      <c r="G2490"/>
    </row>
    <row r="2491" spans="7:7" x14ac:dyDescent="0.3">
      <c r="G2491"/>
    </row>
    <row r="2492" spans="7:7" x14ac:dyDescent="0.3">
      <c r="G2492"/>
    </row>
    <row r="2493" spans="7:7" x14ac:dyDescent="0.3">
      <c r="G2493"/>
    </row>
    <row r="2494" spans="7:7" x14ac:dyDescent="0.3">
      <c r="G2494"/>
    </row>
    <row r="2495" spans="7:7" x14ac:dyDescent="0.3">
      <c r="G2495"/>
    </row>
    <row r="2496" spans="7:7" x14ac:dyDescent="0.3">
      <c r="G2496"/>
    </row>
    <row r="2497" spans="7:7" x14ac:dyDescent="0.3">
      <c r="G2497"/>
    </row>
    <row r="2498" spans="7:7" x14ac:dyDescent="0.3">
      <c r="G2498"/>
    </row>
    <row r="2499" spans="7:7" x14ac:dyDescent="0.3">
      <c r="G2499"/>
    </row>
    <row r="2500" spans="7:7" x14ac:dyDescent="0.3">
      <c r="G2500"/>
    </row>
    <row r="2501" spans="7:7" x14ac:dyDescent="0.3">
      <c r="G2501"/>
    </row>
    <row r="2502" spans="7:7" x14ac:dyDescent="0.3">
      <c r="G2502"/>
    </row>
    <row r="2503" spans="7:7" x14ac:dyDescent="0.3">
      <c r="G2503"/>
    </row>
    <row r="2504" spans="7:7" x14ac:dyDescent="0.3">
      <c r="G2504"/>
    </row>
    <row r="2505" spans="7:7" x14ac:dyDescent="0.3">
      <c r="G2505"/>
    </row>
    <row r="2506" spans="7:7" x14ac:dyDescent="0.3">
      <c r="G2506"/>
    </row>
    <row r="2507" spans="7:7" x14ac:dyDescent="0.3">
      <c r="G2507"/>
    </row>
    <row r="2508" spans="7:7" x14ac:dyDescent="0.3">
      <c r="G2508"/>
    </row>
    <row r="2509" spans="7:7" x14ac:dyDescent="0.3">
      <c r="G2509"/>
    </row>
    <row r="2510" spans="7:7" x14ac:dyDescent="0.3">
      <c r="G2510"/>
    </row>
    <row r="2511" spans="7:7" x14ac:dyDescent="0.3">
      <c r="G2511"/>
    </row>
    <row r="2512" spans="7:7" x14ac:dyDescent="0.3">
      <c r="G2512"/>
    </row>
    <row r="2513" spans="7:7" x14ac:dyDescent="0.3">
      <c r="G2513"/>
    </row>
    <row r="2514" spans="7:7" x14ac:dyDescent="0.3">
      <c r="G2514"/>
    </row>
    <row r="2515" spans="7:7" x14ac:dyDescent="0.3">
      <c r="G2515"/>
    </row>
    <row r="2516" spans="7:7" x14ac:dyDescent="0.3">
      <c r="G2516"/>
    </row>
    <row r="2517" spans="7:7" x14ac:dyDescent="0.3">
      <c r="G2517"/>
    </row>
    <row r="2518" spans="7:7" x14ac:dyDescent="0.3">
      <c r="G2518"/>
    </row>
    <row r="2519" spans="7:7" x14ac:dyDescent="0.3">
      <c r="G2519"/>
    </row>
    <row r="2520" spans="7:7" x14ac:dyDescent="0.3">
      <c r="G2520"/>
    </row>
    <row r="2521" spans="7:7" x14ac:dyDescent="0.3">
      <c r="G2521"/>
    </row>
    <row r="2522" spans="7:7" x14ac:dyDescent="0.3">
      <c r="G2522"/>
    </row>
    <row r="2523" spans="7:7" x14ac:dyDescent="0.3">
      <c r="G2523"/>
    </row>
    <row r="2524" spans="7:7" x14ac:dyDescent="0.3">
      <c r="G2524"/>
    </row>
    <row r="2525" spans="7:7" x14ac:dyDescent="0.3">
      <c r="G2525"/>
    </row>
    <row r="2526" spans="7:7" x14ac:dyDescent="0.3">
      <c r="G2526"/>
    </row>
    <row r="2527" spans="7:7" x14ac:dyDescent="0.3">
      <c r="G2527"/>
    </row>
    <row r="2528" spans="7:7" x14ac:dyDescent="0.3">
      <c r="G2528"/>
    </row>
    <row r="2529" spans="7:7" x14ac:dyDescent="0.3">
      <c r="G2529"/>
    </row>
    <row r="2530" spans="7:7" x14ac:dyDescent="0.3">
      <c r="G2530"/>
    </row>
    <row r="2531" spans="7:7" x14ac:dyDescent="0.3">
      <c r="G2531"/>
    </row>
    <row r="2532" spans="7:7" x14ac:dyDescent="0.3">
      <c r="G2532"/>
    </row>
    <row r="2533" spans="7:7" x14ac:dyDescent="0.3">
      <c r="G2533"/>
    </row>
    <row r="2534" spans="7:7" x14ac:dyDescent="0.3">
      <c r="G2534"/>
    </row>
    <row r="2535" spans="7:7" x14ac:dyDescent="0.3">
      <c r="G2535"/>
    </row>
    <row r="2536" spans="7:7" x14ac:dyDescent="0.3">
      <c r="G2536"/>
    </row>
    <row r="2537" spans="7:7" x14ac:dyDescent="0.3">
      <c r="G2537"/>
    </row>
    <row r="2538" spans="7:7" x14ac:dyDescent="0.3">
      <c r="G2538"/>
    </row>
    <row r="2539" spans="7:7" x14ac:dyDescent="0.3">
      <c r="G2539"/>
    </row>
    <row r="2540" spans="7:7" x14ac:dyDescent="0.3">
      <c r="G2540"/>
    </row>
    <row r="2541" spans="7:7" x14ac:dyDescent="0.3">
      <c r="G2541"/>
    </row>
    <row r="2542" spans="7:7" x14ac:dyDescent="0.3">
      <c r="G2542"/>
    </row>
    <row r="2543" spans="7:7" x14ac:dyDescent="0.3">
      <c r="G2543"/>
    </row>
    <row r="2544" spans="7:7" x14ac:dyDescent="0.3">
      <c r="G2544"/>
    </row>
    <row r="2545" spans="7:7" x14ac:dyDescent="0.3">
      <c r="G2545"/>
    </row>
    <row r="2546" spans="7:7" x14ac:dyDescent="0.3">
      <c r="G2546"/>
    </row>
    <row r="2547" spans="7:7" x14ac:dyDescent="0.3">
      <c r="G2547"/>
    </row>
    <row r="2548" spans="7:7" x14ac:dyDescent="0.3">
      <c r="G2548"/>
    </row>
    <row r="2549" spans="7:7" x14ac:dyDescent="0.3">
      <c r="G2549"/>
    </row>
    <row r="2550" spans="7:7" x14ac:dyDescent="0.3">
      <c r="G2550"/>
    </row>
    <row r="2551" spans="7:7" x14ac:dyDescent="0.3">
      <c r="G2551"/>
    </row>
    <row r="2552" spans="7:7" x14ac:dyDescent="0.3">
      <c r="G2552"/>
    </row>
    <row r="2553" spans="7:7" x14ac:dyDescent="0.3">
      <c r="G2553"/>
    </row>
    <row r="2554" spans="7:7" x14ac:dyDescent="0.3">
      <c r="G2554"/>
    </row>
    <row r="2555" spans="7:7" x14ac:dyDescent="0.3">
      <c r="G2555"/>
    </row>
    <row r="2556" spans="7:7" x14ac:dyDescent="0.3">
      <c r="G2556"/>
    </row>
    <row r="2557" spans="7:7" x14ac:dyDescent="0.3">
      <c r="G2557"/>
    </row>
    <row r="2558" spans="7:7" x14ac:dyDescent="0.3">
      <c r="G2558"/>
    </row>
    <row r="2559" spans="7:7" x14ac:dyDescent="0.3">
      <c r="G2559"/>
    </row>
    <row r="2560" spans="7:7" x14ac:dyDescent="0.3">
      <c r="G2560"/>
    </row>
    <row r="2561" spans="7:7" x14ac:dyDescent="0.3">
      <c r="G2561"/>
    </row>
    <row r="2562" spans="7:7" x14ac:dyDescent="0.3">
      <c r="G2562"/>
    </row>
    <row r="2563" spans="7:7" x14ac:dyDescent="0.3">
      <c r="G2563"/>
    </row>
    <row r="2564" spans="7:7" x14ac:dyDescent="0.3">
      <c r="G2564"/>
    </row>
    <row r="2565" spans="7:7" x14ac:dyDescent="0.3">
      <c r="G2565"/>
    </row>
    <row r="2566" spans="7:7" x14ac:dyDescent="0.3">
      <c r="G2566"/>
    </row>
    <row r="2567" spans="7:7" x14ac:dyDescent="0.3">
      <c r="G2567"/>
    </row>
    <row r="2568" spans="7:7" x14ac:dyDescent="0.3">
      <c r="G2568"/>
    </row>
    <row r="2569" spans="7:7" x14ac:dyDescent="0.3">
      <c r="G2569"/>
    </row>
    <row r="2570" spans="7:7" x14ac:dyDescent="0.3">
      <c r="G2570"/>
    </row>
    <row r="2571" spans="7:7" x14ac:dyDescent="0.3">
      <c r="G2571"/>
    </row>
    <row r="2572" spans="7:7" x14ac:dyDescent="0.3">
      <c r="G2572"/>
    </row>
    <row r="2573" spans="7:7" x14ac:dyDescent="0.3">
      <c r="G2573"/>
    </row>
    <row r="2574" spans="7:7" x14ac:dyDescent="0.3">
      <c r="G2574"/>
    </row>
    <row r="2575" spans="7:7" x14ac:dyDescent="0.3">
      <c r="G2575"/>
    </row>
    <row r="2576" spans="7:7" x14ac:dyDescent="0.3">
      <c r="G2576"/>
    </row>
    <row r="2577" spans="7:7" x14ac:dyDescent="0.3">
      <c r="G2577"/>
    </row>
    <row r="2578" spans="7:7" x14ac:dyDescent="0.3">
      <c r="G2578"/>
    </row>
    <row r="2579" spans="7:7" x14ac:dyDescent="0.3">
      <c r="G2579"/>
    </row>
    <row r="2580" spans="7:7" x14ac:dyDescent="0.3">
      <c r="G2580"/>
    </row>
    <row r="2581" spans="7:7" x14ac:dyDescent="0.3">
      <c r="G2581"/>
    </row>
    <row r="2582" spans="7:7" x14ac:dyDescent="0.3">
      <c r="G2582"/>
    </row>
    <row r="2583" spans="7:7" x14ac:dyDescent="0.3">
      <c r="G2583"/>
    </row>
    <row r="2584" spans="7:7" x14ac:dyDescent="0.3">
      <c r="G2584"/>
    </row>
    <row r="2585" spans="7:7" x14ac:dyDescent="0.3">
      <c r="G2585"/>
    </row>
    <row r="2586" spans="7:7" x14ac:dyDescent="0.3">
      <c r="G2586"/>
    </row>
    <row r="2587" spans="7:7" x14ac:dyDescent="0.3">
      <c r="G2587"/>
    </row>
    <row r="2588" spans="7:7" x14ac:dyDescent="0.3">
      <c r="G2588"/>
    </row>
    <row r="2589" spans="7:7" x14ac:dyDescent="0.3">
      <c r="G2589"/>
    </row>
    <row r="2590" spans="7:7" x14ac:dyDescent="0.3">
      <c r="G2590"/>
    </row>
    <row r="2591" spans="7:7" x14ac:dyDescent="0.3">
      <c r="G2591"/>
    </row>
    <row r="2592" spans="7:7" x14ac:dyDescent="0.3">
      <c r="G2592"/>
    </row>
    <row r="2593" spans="7:7" x14ac:dyDescent="0.3">
      <c r="G2593"/>
    </row>
    <row r="2594" spans="7:7" x14ac:dyDescent="0.3">
      <c r="G2594"/>
    </row>
    <row r="2595" spans="7:7" x14ac:dyDescent="0.3">
      <c r="G2595"/>
    </row>
    <row r="2596" spans="7:7" x14ac:dyDescent="0.3">
      <c r="G2596"/>
    </row>
    <row r="2597" spans="7:7" x14ac:dyDescent="0.3">
      <c r="G2597"/>
    </row>
    <row r="2598" spans="7:7" x14ac:dyDescent="0.3">
      <c r="G2598"/>
    </row>
    <row r="2599" spans="7:7" x14ac:dyDescent="0.3">
      <c r="G2599"/>
    </row>
    <row r="2600" spans="7:7" x14ac:dyDescent="0.3">
      <c r="G2600"/>
    </row>
    <row r="2601" spans="7:7" x14ac:dyDescent="0.3">
      <c r="G2601"/>
    </row>
    <row r="2602" spans="7:7" x14ac:dyDescent="0.3">
      <c r="G2602"/>
    </row>
    <row r="2603" spans="7:7" x14ac:dyDescent="0.3">
      <c r="G2603"/>
    </row>
    <row r="2604" spans="7:7" x14ac:dyDescent="0.3">
      <c r="G2604"/>
    </row>
    <row r="2605" spans="7:7" x14ac:dyDescent="0.3">
      <c r="G2605"/>
    </row>
    <row r="2606" spans="7:7" x14ac:dyDescent="0.3">
      <c r="G2606"/>
    </row>
    <row r="2607" spans="7:7" x14ac:dyDescent="0.3">
      <c r="G2607"/>
    </row>
    <row r="2608" spans="7:7" x14ac:dyDescent="0.3">
      <c r="G2608"/>
    </row>
    <row r="2609" spans="7:7" x14ac:dyDescent="0.3">
      <c r="G2609"/>
    </row>
    <row r="2610" spans="7:7" x14ac:dyDescent="0.3">
      <c r="G2610"/>
    </row>
    <row r="2611" spans="7:7" x14ac:dyDescent="0.3">
      <c r="G2611"/>
    </row>
    <row r="2612" spans="7:7" x14ac:dyDescent="0.3">
      <c r="G2612"/>
    </row>
    <row r="2613" spans="7:7" x14ac:dyDescent="0.3">
      <c r="G2613"/>
    </row>
    <row r="2614" spans="7:7" x14ac:dyDescent="0.3">
      <c r="G2614"/>
    </row>
    <row r="2615" spans="7:7" x14ac:dyDescent="0.3">
      <c r="G2615"/>
    </row>
    <row r="2616" spans="7:7" x14ac:dyDescent="0.3">
      <c r="G2616"/>
    </row>
    <row r="2617" spans="7:7" x14ac:dyDescent="0.3">
      <c r="G2617"/>
    </row>
    <row r="2618" spans="7:7" x14ac:dyDescent="0.3">
      <c r="G2618"/>
    </row>
    <row r="2619" spans="7:7" x14ac:dyDescent="0.3">
      <c r="G2619"/>
    </row>
    <row r="2620" spans="7:7" x14ac:dyDescent="0.3">
      <c r="G2620"/>
    </row>
    <row r="2621" spans="7:7" x14ac:dyDescent="0.3">
      <c r="G2621"/>
    </row>
    <row r="2622" spans="7:7" x14ac:dyDescent="0.3">
      <c r="G2622"/>
    </row>
    <row r="2623" spans="7:7" x14ac:dyDescent="0.3">
      <c r="G2623"/>
    </row>
    <row r="2624" spans="7:7" x14ac:dyDescent="0.3">
      <c r="G2624"/>
    </row>
    <row r="2625" spans="7:7" x14ac:dyDescent="0.3">
      <c r="G2625"/>
    </row>
    <row r="2626" spans="7:7" x14ac:dyDescent="0.3">
      <c r="G2626"/>
    </row>
    <row r="2627" spans="7:7" x14ac:dyDescent="0.3">
      <c r="G2627"/>
    </row>
    <row r="2628" spans="7:7" x14ac:dyDescent="0.3">
      <c r="G2628"/>
    </row>
    <row r="2629" spans="7:7" x14ac:dyDescent="0.3">
      <c r="G2629"/>
    </row>
    <row r="2630" spans="7:7" x14ac:dyDescent="0.3">
      <c r="G2630"/>
    </row>
    <row r="2631" spans="7:7" x14ac:dyDescent="0.3">
      <c r="G2631"/>
    </row>
    <row r="2632" spans="7:7" x14ac:dyDescent="0.3">
      <c r="G2632"/>
    </row>
    <row r="2633" spans="7:7" x14ac:dyDescent="0.3">
      <c r="G2633"/>
    </row>
    <row r="2634" spans="7:7" x14ac:dyDescent="0.3">
      <c r="G2634"/>
    </row>
    <row r="2635" spans="7:7" x14ac:dyDescent="0.3">
      <c r="G2635"/>
    </row>
    <row r="2636" spans="7:7" x14ac:dyDescent="0.3">
      <c r="G2636"/>
    </row>
    <row r="2637" spans="7:7" x14ac:dyDescent="0.3">
      <c r="G2637"/>
    </row>
    <row r="2638" spans="7:7" x14ac:dyDescent="0.3">
      <c r="G2638"/>
    </row>
    <row r="2639" spans="7:7" x14ac:dyDescent="0.3">
      <c r="G2639"/>
    </row>
    <row r="2640" spans="7:7" x14ac:dyDescent="0.3">
      <c r="G2640"/>
    </row>
    <row r="2641" spans="7:7" x14ac:dyDescent="0.3">
      <c r="G2641"/>
    </row>
    <row r="2642" spans="7:7" x14ac:dyDescent="0.3">
      <c r="G2642"/>
    </row>
    <row r="2643" spans="7:7" x14ac:dyDescent="0.3">
      <c r="G2643"/>
    </row>
    <row r="2644" spans="7:7" x14ac:dyDescent="0.3">
      <c r="G2644"/>
    </row>
    <row r="2645" spans="7:7" x14ac:dyDescent="0.3">
      <c r="G2645"/>
    </row>
    <row r="2646" spans="7:7" x14ac:dyDescent="0.3">
      <c r="G2646"/>
    </row>
    <row r="2647" spans="7:7" x14ac:dyDescent="0.3">
      <c r="G2647"/>
    </row>
    <row r="2648" spans="7:7" x14ac:dyDescent="0.3">
      <c r="G2648"/>
    </row>
    <row r="2649" spans="7:7" x14ac:dyDescent="0.3">
      <c r="G2649"/>
    </row>
    <row r="2650" spans="7:7" x14ac:dyDescent="0.3">
      <c r="G2650"/>
    </row>
    <row r="2651" spans="7:7" x14ac:dyDescent="0.3">
      <c r="G2651"/>
    </row>
    <row r="2652" spans="7:7" x14ac:dyDescent="0.3">
      <c r="G2652"/>
    </row>
    <row r="2653" spans="7:7" x14ac:dyDescent="0.3">
      <c r="G2653"/>
    </row>
    <row r="2654" spans="7:7" x14ac:dyDescent="0.3">
      <c r="G2654"/>
    </row>
    <row r="2655" spans="7:7" x14ac:dyDescent="0.3">
      <c r="G2655"/>
    </row>
    <row r="2656" spans="7:7" x14ac:dyDescent="0.3">
      <c r="G2656"/>
    </row>
    <row r="2657" spans="7:7" x14ac:dyDescent="0.3">
      <c r="G2657"/>
    </row>
    <row r="2658" spans="7:7" x14ac:dyDescent="0.3">
      <c r="G2658"/>
    </row>
    <row r="2659" spans="7:7" x14ac:dyDescent="0.3">
      <c r="G2659"/>
    </row>
    <row r="2660" spans="7:7" x14ac:dyDescent="0.3">
      <c r="G2660"/>
    </row>
    <row r="2661" spans="7:7" x14ac:dyDescent="0.3">
      <c r="G2661"/>
    </row>
    <row r="2662" spans="7:7" x14ac:dyDescent="0.3">
      <c r="G2662"/>
    </row>
    <row r="2663" spans="7:7" x14ac:dyDescent="0.3">
      <c r="G2663"/>
    </row>
    <row r="2664" spans="7:7" x14ac:dyDescent="0.3">
      <c r="G2664"/>
    </row>
    <row r="2665" spans="7:7" x14ac:dyDescent="0.3">
      <c r="G2665"/>
    </row>
    <row r="2666" spans="7:7" x14ac:dyDescent="0.3">
      <c r="G2666"/>
    </row>
    <row r="2667" spans="7:7" x14ac:dyDescent="0.3">
      <c r="G2667"/>
    </row>
    <row r="2668" spans="7:7" x14ac:dyDescent="0.3">
      <c r="G2668"/>
    </row>
    <row r="2669" spans="7:7" x14ac:dyDescent="0.3">
      <c r="G2669"/>
    </row>
    <row r="2670" spans="7:7" x14ac:dyDescent="0.3">
      <c r="G2670"/>
    </row>
    <row r="2671" spans="7:7" x14ac:dyDescent="0.3">
      <c r="G2671"/>
    </row>
    <row r="2672" spans="7:7" x14ac:dyDescent="0.3">
      <c r="G2672"/>
    </row>
    <row r="2673" spans="7:7" x14ac:dyDescent="0.3">
      <c r="G2673"/>
    </row>
    <row r="2674" spans="7:7" x14ac:dyDescent="0.3">
      <c r="G2674"/>
    </row>
    <row r="2675" spans="7:7" x14ac:dyDescent="0.3">
      <c r="G2675"/>
    </row>
    <row r="2676" spans="7:7" x14ac:dyDescent="0.3">
      <c r="G2676"/>
    </row>
    <row r="2677" spans="7:7" x14ac:dyDescent="0.3">
      <c r="G2677"/>
    </row>
    <row r="2678" spans="7:7" x14ac:dyDescent="0.3">
      <c r="G2678"/>
    </row>
    <row r="2679" spans="7:7" x14ac:dyDescent="0.3">
      <c r="G2679"/>
    </row>
    <row r="2680" spans="7:7" x14ac:dyDescent="0.3">
      <c r="G2680"/>
    </row>
    <row r="2681" spans="7:7" x14ac:dyDescent="0.3">
      <c r="G2681"/>
    </row>
    <row r="2682" spans="7:7" x14ac:dyDescent="0.3">
      <c r="G2682"/>
    </row>
    <row r="2683" spans="7:7" x14ac:dyDescent="0.3">
      <c r="G2683"/>
    </row>
    <row r="2684" spans="7:7" x14ac:dyDescent="0.3">
      <c r="G2684"/>
    </row>
    <row r="2685" spans="7:7" x14ac:dyDescent="0.3">
      <c r="G2685"/>
    </row>
    <row r="2686" spans="7:7" x14ac:dyDescent="0.3">
      <c r="G2686"/>
    </row>
    <row r="2687" spans="7:7" x14ac:dyDescent="0.3">
      <c r="G2687"/>
    </row>
    <row r="2688" spans="7:7" x14ac:dyDescent="0.3">
      <c r="G2688"/>
    </row>
    <row r="2689" spans="7:7" x14ac:dyDescent="0.3">
      <c r="G2689"/>
    </row>
    <row r="2690" spans="7:7" x14ac:dyDescent="0.3">
      <c r="G2690"/>
    </row>
    <row r="2691" spans="7:7" x14ac:dyDescent="0.3">
      <c r="G2691"/>
    </row>
    <row r="2692" spans="7:7" x14ac:dyDescent="0.3">
      <c r="G2692"/>
    </row>
    <row r="2693" spans="7:7" x14ac:dyDescent="0.3">
      <c r="G2693"/>
    </row>
    <row r="2694" spans="7:7" x14ac:dyDescent="0.3">
      <c r="G2694"/>
    </row>
    <row r="2695" spans="7:7" x14ac:dyDescent="0.3">
      <c r="G2695"/>
    </row>
    <row r="2696" spans="7:7" x14ac:dyDescent="0.3">
      <c r="G2696"/>
    </row>
    <row r="2697" spans="7:7" x14ac:dyDescent="0.3">
      <c r="G2697"/>
    </row>
    <row r="2698" spans="7:7" x14ac:dyDescent="0.3">
      <c r="G2698"/>
    </row>
    <row r="2699" spans="7:7" x14ac:dyDescent="0.3">
      <c r="G2699"/>
    </row>
    <row r="2700" spans="7:7" x14ac:dyDescent="0.3">
      <c r="G2700"/>
    </row>
    <row r="2701" spans="7:7" x14ac:dyDescent="0.3">
      <c r="G2701"/>
    </row>
    <row r="2702" spans="7:7" x14ac:dyDescent="0.3">
      <c r="G2702"/>
    </row>
    <row r="2703" spans="7:7" x14ac:dyDescent="0.3">
      <c r="G2703"/>
    </row>
    <row r="2704" spans="7:7" x14ac:dyDescent="0.3">
      <c r="G2704"/>
    </row>
    <row r="2705" spans="7:7" x14ac:dyDescent="0.3">
      <c r="G2705"/>
    </row>
    <row r="2706" spans="7:7" x14ac:dyDescent="0.3">
      <c r="G2706"/>
    </row>
    <row r="2707" spans="7:7" x14ac:dyDescent="0.3">
      <c r="G2707"/>
    </row>
    <row r="2708" spans="7:7" x14ac:dyDescent="0.3">
      <c r="G2708"/>
    </row>
    <row r="2709" spans="7:7" x14ac:dyDescent="0.3">
      <c r="G2709"/>
    </row>
    <row r="2710" spans="7:7" x14ac:dyDescent="0.3">
      <c r="G2710"/>
    </row>
    <row r="2711" spans="7:7" x14ac:dyDescent="0.3">
      <c r="G2711"/>
    </row>
    <row r="2712" spans="7:7" x14ac:dyDescent="0.3">
      <c r="G2712"/>
    </row>
    <row r="2713" spans="7:7" x14ac:dyDescent="0.3">
      <c r="G2713"/>
    </row>
    <row r="2714" spans="7:7" x14ac:dyDescent="0.3">
      <c r="G2714"/>
    </row>
    <row r="2715" spans="7:7" x14ac:dyDescent="0.3">
      <c r="G2715"/>
    </row>
    <row r="2716" spans="7:7" x14ac:dyDescent="0.3">
      <c r="G2716"/>
    </row>
    <row r="2717" spans="7:7" x14ac:dyDescent="0.3">
      <c r="G2717"/>
    </row>
    <row r="2718" spans="7:7" x14ac:dyDescent="0.3">
      <c r="G2718"/>
    </row>
    <row r="2719" spans="7:7" x14ac:dyDescent="0.3">
      <c r="G2719"/>
    </row>
    <row r="2720" spans="7:7" x14ac:dyDescent="0.3">
      <c r="G2720"/>
    </row>
    <row r="2721" spans="7:7" x14ac:dyDescent="0.3">
      <c r="G2721"/>
    </row>
    <row r="2722" spans="7:7" x14ac:dyDescent="0.3">
      <c r="G2722"/>
    </row>
    <row r="2723" spans="7:7" x14ac:dyDescent="0.3">
      <c r="G2723"/>
    </row>
    <row r="2724" spans="7:7" x14ac:dyDescent="0.3">
      <c r="G2724"/>
    </row>
    <row r="2725" spans="7:7" x14ac:dyDescent="0.3">
      <c r="G2725"/>
    </row>
    <row r="2726" spans="7:7" x14ac:dyDescent="0.3">
      <c r="G2726"/>
    </row>
    <row r="2727" spans="7:7" x14ac:dyDescent="0.3">
      <c r="G2727"/>
    </row>
    <row r="2728" spans="7:7" x14ac:dyDescent="0.3">
      <c r="G2728"/>
    </row>
    <row r="2729" spans="7:7" x14ac:dyDescent="0.3">
      <c r="G2729"/>
    </row>
    <row r="2730" spans="7:7" x14ac:dyDescent="0.3">
      <c r="G2730"/>
    </row>
    <row r="2731" spans="7:7" x14ac:dyDescent="0.3">
      <c r="G2731"/>
    </row>
    <row r="2732" spans="7:7" x14ac:dyDescent="0.3">
      <c r="G2732"/>
    </row>
    <row r="2733" spans="7:7" x14ac:dyDescent="0.3">
      <c r="G2733"/>
    </row>
    <row r="2734" spans="7:7" x14ac:dyDescent="0.3">
      <c r="G2734"/>
    </row>
    <row r="2735" spans="7:7" x14ac:dyDescent="0.3">
      <c r="G2735"/>
    </row>
    <row r="2736" spans="7:7" x14ac:dyDescent="0.3">
      <c r="G2736"/>
    </row>
    <row r="2737" spans="7:7" x14ac:dyDescent="0.3">
      <c r="G2737"/>
    </row>
    <row r="2738" spans="7:7" x14ac:dyDescent="0.3">
      <c r="G2738"/>
    </row>
    <row r="2739" spans="7:7" x14ac:dyDescent="0.3">
      <c r="G2739"/>
    </row>
    <row r="2740" spans="7:7" x14ac:dyDescent="0.3">
      <c r="G2740"/>
    </row>
    <row r="2741" spans="7:7" x14ac:dyDescent="0.3">
      <c r="G2741"/>
    </row>
    <row r="2742" spans="7:7" x14ac:dyDescent="0.3">
      <c r="G2742"/>
    </row>
    <row r="2743" spans="7:7" x14ac:dyDescent="0.3">
      <c r="G2743"/>
    </row>
    <row r="2744" spans="7:7" x14ac:dyDescent="0.3">
      <c r="G2744"/>
    </row>
    <row r="2745" spans="7:7" x14ac:dyDescent="0.3">
      <c r="G2745"/>
    </row>
    <row r="2746" spans="7:7" x14ac:dyDescent="0.3">
      <c r="G2746"/>
    </row>
    <row r="2747" spans="7:7" x14ac:dyDescent="0.3">
      <c r="G2747"/>
    </row>
    <row r="2748" spans="7:7" x14ac:dyDescent="0.3">
      <c r="G2748"/>
    </row>
    <row r="2749" spans="7:7" x14ac:dyDescent="0.3">
      <c r="G2749"/>
    </row>
    <row r="2750" spans="7:7" x14ac:dyDescent="0.3">
      <c r="G2750"/>
    </row>
    <row r="2751" spans="7:7" x14ac:dyDescent="0.3">
      <c r="G2751"/>
    </row>
    <row r="2752" spans="7:7" x14ac:dyDescent="0.3">
      <c r="G2752"/>
    </row>
    <row r="2753" spans="7:7" x14ac:dyDescent="0.3">
      <c r="G2753"/>
    </row>
    <row r="2754" spans="7:7" x14ac:dyDescent="0.3">
      <c r="G2754"/>
    </row>
    <row r="2755" spans="7:7" x14ac:dyDescent="0.3">
      <c r="G2755"/>
    </row>
    <row r="2756" spans="7:7" x14ac:dyDescent="0.3">
      <c r="G2756"/>
    </row>
    <row r="2757" spans="7:7" x14ac:dyDescent="0.3">
      <c r="G2757"/>
    </row>
    <row r="2758" spans="7:7" x14ac:dyDescent="0.3">
      <c r="G2758"/>
    </row>
    <row r="2759" spans="7:7" x14ac:dyDescent="0.3">
      <c r="G2759"/>
    </row>
    <row r="2760" spans="7:7" x14ac:dyDescent="0.3">
      <c r="G2760"/>
    </row>
    <row r="2761" spans="7:7" x14ac:dyDescent="0.3">
      <c r="G2761"/>
    </row>
    <row r="2762" spans="7:7" x14ac:dyDescent="0.3">
      <c r="G2762"/>
    </row>
    <row r="2763" spans="7:7" x14ac:dyDescent="0.3">
      <c r="G2763"/>
    </row>
    <row r="2764" spans="7:7" x14ac:dyDescent="0.3">
      <c r="G2764"/>
    </row>
    <row r="2765" spans="7:7" x14ac:dyDescent="0.3">
      <c r="G2765"/>
    </row>
    <row r="2766" spans="7:7" x14ac:dyDescent="0.3">
      <c r="G2766"/>
    </row>
    <row r="2767" spans="7:7" x14ac:dyDescent="0.3">
      <c r="G2767"/>
    </row>
    <row r="2768" spans="7:7" x14ac:dyDescent="0.3">
      <c r="G2768"/>
    </row>
    <row r="2769" spans="7:7" x14ac:dyDescent="0.3">
      <c r="G2769"/>
    </row>
    <row r="2770" spans="7:7" x14ac:dyDescent="0.3">
      <c r="G2770"/>
    </row>
    <row r="2771" spans="7:7" x14ac:dyDescent="0.3">
      <c r="G2771"/>
    </row>
    <row r="2772" spans="7:7" x14ac:dyDescent="0.3">
      <c r="G2772"/>
    </row>
    <row r="2773" spans="7:7" x14ac:dyDescent="0.3">
      <c r="G2773"/>
    </row>
    <row r="2774" spans="7:7" x14ac:dyDescent="0.3">
      <c r="G2774"/>
    </row>
    <row r="2775" spans="7:7" x14ac:dyDescent="0.3">
      <c r="G2775"/>
    </row>
    <row r="2776" spans="7:7" x14ac:dyDescent="0.3">
      <c r="G2776"/>
    </row>
    <row r="2777" spans="7:7" x14ac:dyDescent="0.3">
      <c r="G2777"/>
    </row>
    <row r="2778" spans="7:7" x14ac:dyDescent="0.3">
      <c r="G2778"/>
    </row>
    <row r="2779" spans="7:7" x14ac:dyDescent="0.3">
      <c r="G2779"/>
    </row>
    <row r="2780" spans="7:7" x14ac:dyDescent="0.3">
      <c r="G2780"/>
    </row>
    <row r="2781" spans="7:7" x14ac:dyDescent="0.3">
      <c r="G2781"/>
    </row>
    <row r="2782" spans="7:7" x14ac:dyDescent="0.3">
      <c r="G2782"/>
    </row>
    <row r="2783" spans="7:7" x14ac:dyDescent="0.3">
      <c r="G2783"/>
    </row>
    <row r="2784" spans="7:7" x14ac:dyDescent="0.3">
      <c r="G2784"/>
    </row>
    <row r="2785" spans="7:7" x14ac:dyDescent="0.3">
      <c r="G2785"/>
    </row>
    <row r="2786" spans="7:7" x14ac:dyDescent="0.3">
      <c r="G2786"/>
    </row>
    <row r="2787" spans="7:7" x14ac:dyDescent="0.3">
      <c r="G2787"/>
    </row>
    <row r="2788" spans="7:7" x14ac:dyDescent="0.3">
      <c r="G2788"/>
    </row>
    <row r="2789" spans="7:7" x14ac:dyDescent="0.3">
      <c r="G2789"/>
    </row>
    <row r="2790" spans="7:7" x14ac:dyDescent="0.3">
      <c r="G2790"/>
    </row>
    <row r="2791" spans="7:7" x14ac:dyDescent="0.3">
      <c r="G2791"/>
    </row>
    <row r="2792" spans="7:7" x14ac:dyDescent="0.3">
      <c r="G2792"/>
    </row>
    <row r="2793" spans="7:7" x14ac:dyDescent="0.3">
      <c r="G2793"/>
    </row>
    <row r="2794" spans="7:7" x14ac:dyDescent="0.3">
      <c r="G2794"/>
    </row>
    <row r="2795" spans="7:7" x14ac:dyDescent="0.3">
      <c r="G2795"/>
    </row>
    <row r="2796" spans="7:7" x14ac:dyDescent="0.3">
      <c r="G2796"/>
    </row>
    <row r="2797" spans="7:7" x14ac:dyDescent="0.3">
      <c r="G2797"/>
    </row>
    <row r="2798" spans="7:7" x14ac:dyDescent="0.3">
      <c r="G2798"/>
    </row>
    <row r="2799" spans="7:7" x14ac:dyDescent="0.3">
      <c r="G2799"/>
    </row>
    <row r="2800" spans="7:7" x14ac:dyDescent="0.3">
      <c r="G2800"/>
    </row>
    <row r="2801" spans="7:7" x14ac:dyDescent="0.3">
      <c r="G2801"/>
    </row>
    <row r="2802" spans="7:7" x14ac:dyDescent="0.3">
      <c r="G2802"/>
    </row>
    <row r="2803" spans="7:7" x14ac:dyDescent="0.3">
      <c r="G2803"/>
    </row>
    <row r="2804" spans="7:7" x14ac:dyDescent="0.3">
      <c r="G2804"/>
    </row>
    <row r="2805" spans="7:7" x14ac:dyDescent="0.3">
      <c r="G2805"/>
    </row>
    <row r="2806" spans="7:7" x14ac:dyDescent="0.3">
      <c r="G2806"/>
    </row>
    <row r="2807" spans="7:7" x14ac:dyDescent="0.3">
      <c r="G2807"/>
    </row>
    <row r="2808" spans="7:7" x14ac:dyDescent="0.3">
      <c r="G2808"/>
    </row>
    <row r="2809" spans="7:7" x14ac:dyDescent="0.3">
      <c r="G2809"/>
    </row>
    <row r="2810" spans="7:7" x14ac:dyDescent="0.3">
      <c r="G2810"/>
    </row>
    <row r="2811" spans="7:7" x14ac:dyDescent="0.3">
      <c r="G2811"/>
    </row>
    <row r="2812" spans="7:7" x14ac:dyDescent="0.3">
      <c r="G2812"/>
    </row>
    <row r="2813" spans="7:7" x14ac:dyDescent="0.3">
      <c r="G2813"/>
    </row>
    <row r="2814" spans="7:7" x14ac:dyDescent="0.3">
      <c r="G2814"/>
    </row>
    <row r="2815" spans="7:7" x14ac:dyDescent="0.3">
      <c r="G2815"/>
    </row>
    <row r="2816" spans="7:7" x14ac:dyDescent="0.3">
      <c r="G2816"/>
    </row>
    <row r="2817" spans="7:7" x14ac:dyDescent="0.3">
      <c r="G2817"/>
    </row>
    <row r="2818" spans="7:7" x14ac:dyDescent="0.3">
      <c r="G2818"/>
    </row>
    <row r="2819" spans="7:7" x14ac:dyDescent="0.3">
      <c r="G2819"/>
    </row>
    <row r="2820" spans="7:7" x14ac:dyDescent="0.3">
      <c r="G2820"/>
    </row>
    <row r="2821" spans="7:7" x14ac:dyDescent="0.3">
      <c r="G2821"/>
    </row>
    <row r="2822" spans="7:7" x14ac:dyDescent="0.3">
      <c r="G2822"/>
    </row>
    <row r="2823" spans="7:7" x14ac:dyDescent="0.3">
      <c r="G2823"/>
    </row>
    <row r="2824" spans="7:7" x14ac:dyDescent="0.3">
      <c r="G2824"/>
    </row>
    <row r="2825" spans="7:7" x14ac:dyDescent="0.3">
      <c r="G2825"/>
    </row>
    <row r="2826" spans="7:7" x14ac:dyDescent="0.3">
      <c r="G2826"/>
    </row>
    <row r="2827" spans="7:7" x14ac:dyDescent="0.3">
      <c r="G2827"/>
    </row>
    <row r="2828" spans="7:7" x14ac:dyDescent="0.3">
      <c r="G2828"/>
    </row>
    <row r="2829" spans="7:7" x14ac:dyDescent="0.3">
      <c r="G2829"/>
    </row>
    <row r="2830" spans="7:7" x14ac:dyDescent="0.3">
      <c r="G2830"/>
    </row>
    <row r="2831" spans="7:7" x14ac:dyDescent="0.3">
      <c r="G2831"/>
    </row>
    <row r="2832" spans="7:7" x14ac:dyDescent="0.3">
      <c r="G2832"/>
    </row>
    <row r="2833" spans="7:7" x14ac:dyDescent="0.3">
      <c r="G2833"/>
    </row>
    <row r="2834" spans="7:7" x14ac:dyDescent="0.3">
      <c r="G2834"/>
    </row>
    <row r="2835" spans="7:7" x14ac:dyDescent="0.3">
      <c r="G2835"/>
    </row>
    <row r="2836" spans="7:7" x14ac:dyDescent="0.3">
      <c r="G2836"/>
    </row>
    <row r="2837" spans="7:7" x14ac:dyDescent="0.3">
      <c r="G2837"/>
    </row>
    <row r="2838" spans="7:7" x14ac:dyDescent="0.3">
      <c r="G2838"/>
    </row>
    <row r="2839" spans="7:7" x14ac:dyDescent="0.3">
      <c r="G2839"/>
    </row>
    <row r="2840" spans="7:7" x14ac:dyDescent="0.3">
      <c r="G2840"/>
    </row>
    <row r="2841" spans="7:7" x14ac:dyDescent="0.3">
      <c r="G2841"/>
    </row>
    <row r="2842" spans="7:7" x14ac:dyDescent="0.3">
      <c r="G2842"/>
    </row>
    <row r="2843" spans="7:7" x14ac:dyDescent="0.3">
      <c r="G2843"/>
    </row>
    <row r="2844" spans="7:7" x14ac:dyDescent="0.3">
      <c r="G2844"/>
    </row>
    <row r="2845" spans="7:7" x14ac:dyDescent="0.3">
      <c r="G2845"/>
    </row>
    <row r="2846" spans="7:7" x14ac:dyDescent="0.3">
      <c r="G2846"/>
    </row>
    <row r="2847" spans="7:7" x14ac:dyDescent="0.3">
      <c r="G2847"/>
    </row>
    <row r="2848" spans="7:7" x14ac:dyDescent="0.3">
      <c r="G2848"/>
    </row>
    <row r="2849" spans="7:7" x14ac:dyDescent="0.3">
      <c r="G2849"/>
    </row>
    <row r="2850" spans="7:7" x14ac:dyDescent="0.3">
      <c r="G2850"/>
    </row>
    <row r="2851" spans="7:7" x14ac:dyDescent="0.3">
      <c r="G2851"/>
    </row>
    <row r="2852" spans="7:7" x14ac:dyDescent="0.3">
      <c r="G2852"/>
    </row>
    <row r="2853" spans="7:7" x14ac:dyDescent="0.3">
      <c r="G2853"/>
    </row>
    <row r="2854" spans="7:7" x14ac:dyDescent="0.3">
      <c r="G2854"/>
    </row>
    <row r="2855" spans="7:7" x14ac:dyDescent="0.3">
      <c r="G2855"/>
    </row>
    <row r="2856" spans="7:7" x14ac:dyDescent="0.3">
      <c r="G2856"/>
    </row>
    <row r="2857" spans="7:7" x14ac:dyDescent="0.3">
      <c r="G2857"/>
    </row>
    <row r="2858" spans="7:7" x14ac:dyDescent="0.3">
      <c r="G2858"/>
    </row>
    <row r="2859" spans="7:7" x14ac:dyDescent="0.3">
      <c r="G2859"/>
    </row>
    <row r="2860" spans="7:7" x14ac:dyDescent="0.3">
      <c r="G2860"/>
    </row>
    <row r="2861" spans="7:7" x14ac:dyDescent="0.3">
      <c r="G2861"/>
    </row>
    <row r="2862" spans="7:7" x14ac:dyDescent="0.3">
      <c r="G2862"/>
    </row>
    <row r="2863" spans="7:7" x14ac:dyDescent="0.3">
      <c r="G2863"/>
    </row>
    <row r="2864" spans="7:7" x14ac:dyDescent="0.3">
      <c r="G2864"/>
    </row>
    <row r="2865" spans="7:7" x14ac:dyDescent="0.3">
      <c r="G2865"/>
    </row>
    <row r="2866" spans="7:7" x14ac:dyDescent="0.3">
      <c r="G2866"/>
    </row>
    <row r="2867" spans="7:7" x14ac:dyDescent="0.3">
      <c r="G2867"/>
    </row>
    <row r="2868" spans="7:7" x14ac:dyDescent="0.3">
      <c r="G2868"/>
    </row>
    <row r="2869" spans="7:7" x14ac:dyDescent="0.3">
      <c r="G2869"/>
    </row>
    <row r="2870" spans="7:7" x14ac:dyDescent="0.3">
      <c r="G2870"/>
    </row>
    <row r="2871" spans="7:7" x14ac:dyDescent="0.3">
      <c r="G2871"/>
    </row>
    <row r="2872" spans="7:7" x14ac:dyDescent="0.3">
      <c r="G2872"/>
    </row>
    <row r="2873" spans="7:7" x14ac:dyDescent="0.3">
      <c r="G2873"/>
    </row>
    <row r="2874" spans="7:7" x14ac:dyDescent="0.3">
      <c r="G2874"/>
    </row>
    <row r="2875" spans="7:7" x14ac:dyDescent="0.3">
      <c r="G2875"/>
    </row>
    <row r="2876" spans="7:7" x14ac:dyDescent="0.3">
      <c r="G2876"/>
    </row>
    <row r="2877" spans="7:7" x14ac:dyDescent="0.3">
      <c r="G2877"/>
    </row>
    <row r="2878" spans="7:7" x14ac:dyDescent="0.3">
      <c r="G2878"/>
    </row>
    <row r="2879" spans="7:7" x14ac:dyDescent="0.3">
      <c r="G2879"/>
    </row>
    <row r="2880" spans="7:7" x14ac:dyDescent="0.3">
      <c r="G2880"/>
    </row>
    <row r="2881" spans="7:7" x14ac:dyDescent="0.3">
      <c r="G2881"/>
    </row>
    <row r="2882" spans="7:7" x14ac:dyDescent="0.3">
      <c r="G2882"/>
    </row>
    <row r="2883" spans="7:7" x14ac:dyDescent="0.3">
      <c r="G2883"/>
    </row>
    <row r="2884" spans="7:7" x14ac:dyDescent="0.3">
      <c r="G2884"/>
    </row>
    <row r="2885" spans="7:7" x14ac:dyDescent="0.3">
      <c r="G2885"/>
    </row>
    <row r="2886" spans="7:7" x14ac:dyDescent="0.3">
      <c r="G2886"/>
    </row>
    <row r="2887" spans="7:7" x14ac:dyDescent="0.3">
      <c r="G2887"/>
    </row>
    <row r="2888" spans="7:7" x14ac:dyDescent="0.3">
      <c r="G2888"/>
    </row>
    <row r="2889" spans="7:7" x14ac:dyDescent="0.3">
      <c r="G2889"/>
    </row>
    <row r="2890" spans="7:7" x14ac:dyDescent="0.3">
      <c r="G2890"/>
    </row>
    <row r="2891" spans="7:7" x14ac:dyDescent="0.3">
      <c r="G2891"/>
    </row>
    <row r="2892" spans="7:7" x14ac:dyDescent="0.3">
      <c r="G2892"/>
    </row>
    <row r="2893" spans="7:7" x14ac:dyDescent="0.3">
      <c r="G2893"/>
    </row>
    <row r="2894" spans="7:7" x14ac:dyDescent="0.3">
      <c r="G2894"/>
    </row>
    <row r="2895" spans="7:7" x14ac:dyDescent="0.3">
      <c r="G2895"/>
    </row>
    <row r="2896" spans="7:7" x14ac:dyDescent="0.3">
      <c r="G2896"/>
    </row>
    <row r="2897" spans="7:7" x14ac:dyDescent="0.3">
      <c r="G2897"/>
    </row>
    <row r="2898" spans="7:7" x14ac:dyDescent="0.3">
      <c r="G2898"/>
    </row>
    <row r="2899" spans="7:7" x14ac:dyDescent="0.3">
      <c r="G2899"/>
    </row>
    <row r="2900" spans="7:7" x14ac:dyDescent="0.3">
      <c r="G2900"/>
    </row>
    <row r="2901" spans="7:7" x14ac:dyDescent="0.3">
      <c r="G2901"/>
    </row>
    <row r="2902" spans="7:7" x14ac:dyDescent="0.3">
      <c r="G2902"/>
    </row>
    <row r="2903" spans="7:7" x14ac:dyDescent="0.3">
      <c r="G2903"/>
    </row>
    <row r="2904" spans="7:7" x14ac:dyDescent="0.3">
      <c r="G2904"/>
    </row>
    <row r="2905" spans="7:7" x14ac:dyDescent="0.3">
      <c r="G2905"/>
    </row>
    <row r="2906" spans="7:7" x14ac:dyDescent="0.3">
      <c r="G2906"/>
    </row>
    <row r="2907" spans="7:7" x14ac:dyDescent="0.3">
      <c r="G2907"/>
    </row>
    <row r="2908" spans="7:7" x14ac:dyDescent="0.3">
      <c r="G2908"/>
    </row>
    <row r="2909" spans="7:7" x14ac:dyDescent="0.3">
      <c r="G2909"/>
    </row>
    <row r="2910" spans="7:7" x14ac:dyDescent="0.3">
      <c r="G2910"/>
    </row>
    <row r="2911" spans="7:7" x14ac:dyDescent="0.3">
      <c r="G2911"/>
    </row>
    <row r="2912" spans="7:7" x14ac:dyDescent="0.3">
      <c r="G2912"/>
    </row>
    <row r="2913" spans="7:7" x14ac:dyDescent="0.3">
      <c r="G2913"/>
    </row>
    <row r="2914" spans="7:7" x14ac:dyDescent="0.3">
      <c r="G2914"/>
    </row>
    <row r="2915" spans="7:7" x14ac:dyDescent="0.3">
      <c r="G2915"/>
    </row>
    <row r="2916" spans="7:7" x14ac:dyDescent="0.3">
      <c r="G2916"/>
    </row>
    <row r="2917" spans="7:7" x14ac:dyDescent="0.3">
      <c r="G2917"/>
    </row>
    <row r="2918" spans="7:7" x14ac:dyDescent="0.3">
      <c r="G2918"/>
    </row>
    <row r="2919" spans="7:7" x14ac:dyDescent="0.3">
      <c r="G2919"/>
    </row>
    <row r="2920" spans="7:7" x14ac:dyDescent="0.3">
      <c r="G2920"/>
    </row>
    <row r="2921" spans="7:7" x14ac:dyDescent="0.3">
      <c r="G2921"/>
    </row>
    <row r="2922" spans="7:7" x14ac:dyDescent="0.3">
      <c r="G2922"/>
    </row>
    <row r="2923" spans="7:7" x14ac:dyDescent="0.3">
      <c r="G2923"/>
    </row>
    <row r="2924" spans="7:7" x14ac:dyDescent="0.3">
      <c r="G2924"/>
    </row>
    <row r="2925" spans="7:7" x14ac:dyDescent="0.3">
      <c r="G2925"/>
    </row>
    <row r="2926" spans="7:7" x14ac:dyDescent="0.3">
      <c r="G2926"/>
    </row>
    <row r="2927" spans="7:7" x14ac:dyDescent="0.3">
      <c r="G2927"/>
    </row>
    <row r="2928" spans="7:7" x14ac:dyDescent="0.3">
      <c r="G2928"/>
    </row>
    <row r="2929" spans="7:7" x14ac:dyDescent="0.3">
      <c r="G2929"/>
    </row>
    <row r="2930" spans="7:7" x14ac:dyDescent="0.3">
      <c r="G2930"/>
    </row>
    <row r="2931" spans="7:7" x14ac:dyDescent="0.3">
      <c r="G2931"/>
    </row>
    <row r="2932" spans="7:7" x14ac:dyDescent="0.3">
      <c r="G2932"/>
    </row>
    <row r="2933" spans="7:7" x14ac:dyDescent="0.3">
      <c r="G2933"/>
    </row>
    <row r="2934" spans="7:7" x14ac:dyDescent="0.3">
      <c r="G2934"/>
    </row>
    <row r="2935" spans="7:7" x14ac:dyDescent="0.3">
      <c r="G2935"/>
    </row>
    <row r="2936" spans="7:7" x14ac:dyDescent="0.3">
      <c r="G2936"/>
    </row>
    <row r="2937" spans="7:7" x14ac:dyDescent="0.3">
      <c r="G2937"/>
    </row>
    <row r="2938" spans="7:7" x14ac:dyDescent="0.3">
      <c r="G2938"/>
    </row>
    <row r="2939" spans="7:7" x14ac:dyDescent="0.3">
      <c r="G2939"/>
    </row>
    <row r="2940" spans="7:7" x14ac:dyDescent="0.3">
      <c r="G2940"/>
    </row>
    <row r="2941" spans="7:7" x14ac:dyDescent="0.3">
      <c r="G2941"/>
    </row>
    <row r="2942" spans="7:7" x14ac:dyDescent="0.3">
      <c r="G2942"/>
    </row>
    <row r="2943" spans="7:7" x14ac:dyDescent="0.3">
      <c r="G2943"/>
    </row>
    <row r="2944" spans="7:7" x14ac:dyDescent="0.3">
      <c r="G2944"/>
    </row>
    <row r="2945" spans="7:7" x14ac:dyDescent="0.3">
      <c r="G2945"/>
    </row>
    <row r="2946" spans="7:7" x14ac:dyDescent="0.3">
      <c r="G2946"/>
    </row>
    <row r="2947" spans="7:7" x14ac:dyDescent="0.3">
      <c r="G2947"/>
    </row>
    <row r="2948" spans="7:7" x14ac:dyDescent="0.3">
      <c r="G2948"/>
    </row>
    <row r="2949" spans="7:7" x14ac:dyDescent="0.3">
      <c r="G2949"/>
    </row>
    <row r="2950" spans="7:7" x14ac:dyDescent="0.3">
      <c r="G2950"/>
    </row>
    <row r="2951" spans="7:7" x14ac:dyDescent="0.3">
      <c r="G2951"/>
    </row>
    <row r="2952" spans="7:7" x14ac:dyDescent="0.3">
      <c r="G2952"/>
    </row>
    <row r="2953" spans="7:7" x14ac:dyDescent="0.3">
      <c r="G2953"/>
    </row>
    <row r="2954" spans="7:7" x14ac:dyDescent="0.3">
      <c r="G2954"/>
    </row>
    <row r="2955" spans="7:7" x14ac:dyDescent="0.3">
      <c r="G2955"/>
    </row>
    <row r="2956" spans="7:7" x14ac:dyDescent="0.3">
      <c r="G2956"/>
    </row>
    <row r="2957" spans="7:7" x14ac:dyDescent="0.3">
      <c r="G2957"/>
    </row>
    <row r="2958" spans="7:7" x14ac:dyDescent="0.3">
      <c r="G2958"/>
    </row>
    <row r="2959" spans="7:7" x14ac:dyDescent="0.3">
      <c r="G2959"/>
    </row>
    <row r="2960" spans="7:7" x14ac:dyDescent="0.3">
      <c r="G2960"/>
    </row>
    <row r="2961" spans="7:7" x14ac:dyDescent="0.3">
      <c r="G2961"/>
    </row>
    <row r="2962" spans="7:7" x14ac:dyDescent="0.3">
      <c r="G2962"/>
    </row>
    <row r="2963" spans="7:7" x14ac:dyDescent="0.3">
      <c r="G2963"/>
    </row>
    <row r="2964" spans="7:7" x14ac:dyDescent="0.3">
      <c r="G2964"/>
    </row>
    <row r="2965" spans="7:7" x14ac:dyDescent="0.3">
      <c r="G2965"/>
    </row>
    <row r="2966" spans="7:7" x14ac:dyDescent="0.3">
      <c r="G2966"/>
    </row>
    <row r="2967" spans="7:7" x14ac:dyDescent="0.3">
      <c r="G2967"/>
    </row>
    <row r="2968" spans="7:7" x14ac:dyDescent="0.3">
      <c r="G2968"/>
    </row>
    <row r="2969" spans="7:7" x14ac:dyDescent="0.3">
      <c r="G2969"/>
    </row>
    <row r="2970" spans="7:7" x14ac:dyDescent="0.3">
      <c r="G2970"/>
    </row>
    <row r="2971" spans="7:7" x14ac:dyDescent="0.3">
      <c r="G2971"/>
    </row>
    <row r="2972" spans="7:7" x14ac:dyDescent="0.3">
      <c r="G2972"/>
    </row>
    <row r="2973" spans="7:7" x14ac:dyDescent="0.3">
      <c r="G2973"/>
    </row>
    <row r="2974" spans="7:7" x14ac:dyDescent="0.3">
      <c r="G2974"/>
    </row>
    <row r="2975" spans="7:7" x14ac:dyDescent="0.3">
      <c r="G2975"/>
    </row>
    <row r="2976" spans="7:7" x14ac:dyDescent="0.3">
      <c r="G2976"/>
    </row>
    <row r="2977" spans="7:7" x14ac:dyDescent="0.3">
      <c r="G2977"/>
    </row>
    <row r="2978" spans="7:7" x14ac:dyDescent="0.3">
      <c r="G2978"/>
    </row>
    <row r="2979" spans="7:7" x14ac:dyDescent="0.3">
      <c r="G2979"/>
    </row>
    <row r="2980" spans="7:7" x14ac:dyDescent="0.3">
      <c r="G2980"/>
    </row>
    <row r="2981" spans="7:7" x14ac:dyDescent="0.3">
      <c r="G2981"/>
    </row>
    <row r="2982" spans="7:7" x14ac:dyDescent="0.3">
      <c r="G2982"/>
    </row>
    <row r="2983" spans="7:7" x14ac:dyDescent="0.3">
      <c r="G2983"/>
    </row>
    <row r="2984" spans="7:7" x14ac:dyDescent="0.3">
      <c r="G2984"/>
    </row>
    <row r="2985" spans="7:7" x14ac:dyDescent="0.3">
      <c r="G2985"/>
    </row>
    <row r="2986" spans="7:7" x14ac:dyDescent="0.3">
      <c r="G2986"/>
    </row>
    <row r="2987" spans="7:7" x14ac:dyDescent="0.3">
      <c r="G2987"/>
    </row>
    <row r="2988" spans="7:7" x14ac:dyDescent="0.3">
      <c r="G2988"/>
    </row>
    <row r="2989" spans="7:7" x14ac:dyDescent="0.3">
      <c r="G2989"/>
    </row>
    <row r="2990" spans="7:7" x14ac:dyDescent="0.3">
      <c r="G2990"/>
    </row>
    <row r="2991" spans="7:7" x14ac:dyDescent="0.3">
      <c r="G2991"/>
    </row>
    <row r="2992" spans="7:7" x14ac:dyDescent="0.3">
      <c r="G2992"/>
    </row>
    <row r="2993" spans="7:7" x14ac:dyDescent="0.3">
      <c r="G2993"/>
    </row>
    <row r="2994" spans="7:7" x14ac:dyDescent="0.3">
      <c r="G2994"/>
    </row>
    <row r="2995" spans="7:7" x14ac:dyDescent="0.3">
      <c r="G2995"/>
    </row>
    <row r="2996" spans="7:7" x14ac:dyDescent="0.3">
      <c r="G2996"/>
    </row>
    <row r="2997" spans="7:7" x14ac:dyDescent="0.3">
      <c r="G2997"/>
    </row>
    <row r="2998" spans="7:7" x14ac:dyDescent="0.3">
      <c r="G2998"/>
    </row>
    <row r="2999" spans="7:7" x14ac:dyDescent="0.3">
      <c r="G2999"/>
    </row>
    <row r="3000" spans="7:7" x14ac:dyDescent="0.3">
      <c r="G3000"/>
    </row>
    <row r="3001" spans="7:7" x14ac:dyDescent="0.3">
      <c r="G3001"/>
    </row>
    <row r="3002" spans="7:7" x14ac:dyDescent="0.3">
      <c r="G3002"/>
    </row>
    <row r="3003" spans="7:7" x14ac:dyDescent="0.3">
      <c r="G3003"/>
    </row>
    <row r="3004" spans="7:7" x14ac:dyDescent="0.3">
      <c r="G3004"/>
    </row>
    <row r="3005" spans="7:7" x14ac:dyDescent="0.3">
      <c r="G3005"/>
    </row>
    <row r="3006" spans="7:7" x14ac:dyDescent="0.3">
      <c r="G3006"/>
    </row>
    <row r="3007" spans="7:7" x14ac:dyDescent="0.3">
      <c r="G3007"/>
    </row>
    <row r="3008" spans="7:7" x14ac:dyDescent="0.3">
      <c r="G3008"/>
    </row>
    <row r="3009" spans="7:7" x14ac:dyDescent="0.3">
      <c r="G3009"/>
    </row>
    <row r="3010" spans="7:7" x14ac:dyDescent="0.3">
      <c r="G3010"/>
    </row>
    <row r="3011" spans="7:7" x14ac:dyDescent="0.3">
      <c r="G3011"/>
    </row>
    <row r="3012" spans="7:7" x14ac:dyDescent="0.3">
      <c r="G3012"/>
    </row>
    <row r="3013" spans="7:7" x14ac:dyDescent="0.3">
      <c r="G3013"/>
    </row>
    <row r="3014" spans="7:7" x14ac:dyDescent="0.3">
      <c r="G3014"/>
    </row>
    <row r="3015" spans="7:7" x14ac:dyDescent="0.3">
      <c r="G3015"/>
    </row>
    <row r="3016" spans="7:7" x14ac:dyDescent="0.3">
      <c r="G3016"/>
    </row>
    <row r="3017" spans="7:7" x14ac:dyDescent="0.3">
      <c r="G3017"/>
    </row>
    <row r="3018" spans="7:7" x14ac:dyDescent="0.3">
      <c r="G3018"/>
    </row>
    <row r="3019" spans="7:7" x14ac:dyDescent="0.3">
      <c r="G3019"/>
    </row>
    <row r="3020" spans="7:7" x14ac:dyDescent="0.3">
      <c r="G3020"/>
    </row>
    <row r="3021" spans="7:7" x14ac:dyDescent="0.3">
      <c r="G3021"/>
    </row>
    <row r="3022" spans="7:7" x14ac:dyDescent="0.3">
      <c r="G3022"/>
    </row>
    <row r="3023" spans="7:7" x14ac:dyDescent="0.3">
      <c r="G3023"/>
    </row>
    <row r="3024" spans="7:7" x14ac:dyDescent="0.3">
      <c r="G3024"/>
    </row>
    <row r="3025" spans="7:7" x14ac:dyDescent="0.3">
      <c r="G3025"/>
    </row>
    <row r="3026" spans="7:7" x14ac:dyDescent="0.3">
      <c r="G3026"/>
    </row>
    <row r="3027" spans="7:7" x14ac:dyDescent="0.3">
      <c r="G3027"/>
    </row>
    <row r="3028" spans="7:7" x14ac:dyDescent="0.3">
      <c r="G3028"/>
    </row>
    <row r="3029" spans="7:7" x14ac:dyDescent="0.3">
      <c r="G3029"/>
    </row>
    <row r="3030" spans="7:7" x14ac:dyDescent="0.3">
      <c r="G3030"/>
    </row>
    <row r="3031" spans="7:7" x14ac:dyDescent="0.3">
      <c r="G3031"/>
    </row>
    <row r="3032" spans="7:7" x14ac:dyDescent="0.3">
      <c r="G3032"/>
    </row>
    <row r="3033" spans="7:7" x14ac:dyDescent="0.3">
      <c r="G3033"/>
    </row>
    <row r="3034" spans="7:7" x14ac:dyDescent="0.3">
      <c r="G3034"/>
    </row>
    <row r="3035" spans="7:7" x14ac:dyDescent="0.3">
      <c r="G3035"/>
    </row>
    <row r="3036" spans="7:7" x14ac:dyDescent="0.3">
      <c r="G3036"/>
    </row>
    <row r="3037" spans="7:7" x14ac:dyDescent="0.3">
      <c r="G3037"/>
    </row>
    <row r="3038" spans="7:7" x14ac:dyDescent="0.3">
      <c r="G3038"/>
    </row>
    <row r="3039" spans="7:7" x14ac:dyDescent="0.3">
      <c r="G3039"/>
    </row>
    <row r="3040" spans="7:7" x14ac:dyDescent="0.3">
      <c r="G3040"/>
    </row>
    <row r="3041" spans="7:7" x14ac:dyDescent="0.3">
      <c r="G3041"/>
    </row>
    <row r="3042" spans="7:7" x14ac:dyDescent="0.3">
      <c r="G3042"/>
    </row>
    <row r="3043" spans="7:7" x14ac:dyDescent="0.3">
      <c r="G3043"/>
    </row>
    <row r="3044" spans="7:7" x14ac:dyDescent="0.3">
      <c r="G3044"/>
    </row>
    <row r="3045" spans="7:7" x14ac:dyDescent="0.3">
      <c r="G3045"/>
    </row>
    <row r="3046" spans="7:7" x14ac:dyDescent="0.3">
      <c r="G3046"/>
    </row>
    <row r="3047" spans="7:7" x14ac:dyDescent="0.3">
      <c r="G3047"/>
    </row>
    <row r="3048" spans="7:7" x14ac:dyDescent="0.3">
      <c r="G3048"/>
    </row>
    <row r="3049" spans="7:7" x14ac:dyDescent="0.3">
      <c r="G3049"/>
    </row>
    <row r="3050" spans="7:7" x14ac:dyDescent="0.3">
      <c r="G3050"/>
    </row>
    <row r="3051" spans="7:7" x14ac:dyDescent="0.3">
      <c r="G3051"/>
    </row>
    <row r="3052" spans="7:7" x14ac:dyDescent="0.3">
      <c r="G3052"/>
    </row>
    <row r="3053" spans="7:7" x14ac:dyDescent="0.3">
      <c r="G3053"/>
    </row>
    <row r="3054" spans="7:7" x14ac:dyDescent="0.3">
      <c r="G3054"/>
    </row>
    <row r="3055" spans="7:7" x14ac:dyDescent="0.3">
      <c r="G3055"/>
    </row>
    <row r="3056" spans="7:7" x14ac:dyDescent="0.3">
      <c r="G3056"/>
    </row>
    <row r="3057" spans="7:7" x14ac:dyDescent="0.3">
      <c r="G3057"/>
    </row>
    <row r="3058" spans="7:7" x14ac:dyDescent="0.3">
      <c r="G3058"/>
    </row>
    <row r="3059" spans="7:7" x14ac:dyDescent="0.3">
      <c r="G3059"/>
    </row>
    <row r="3060" spans="7:7" x14ac:dyDescent="0.3">
      <c r="G3060"/>
    </row>
    <row r="3061" spans="7:7" x14ac:dyDescent="0.3">
      <c r="G3061"/>
    </row>
    <row r="3062" spans="7:7" x14ac:dyDescent="0.3">
      <c r="G3062"/>
    </row>
    <row r="3063" spans="7:7" x14ac:dyDescent="0.3">
      <c r="G3063"/>
    </row>
    <row r="3064" spans="7:7" x14ac:dyDescent="0.3">
      <c r="G3064"/>
    </row>
    <row r="3065" spans="7:7" x14ac:dyDescent="0.3">
      <c r="G3065"/>
    </row>
    <row r="3066" spans="7:7" x14ac:dyDescent="0.3">
      <c r="G3066"/>
    </row>
    <row r="3067" spans="7:7" x14ac:dyDescent="0.3">
      <c r="G3067"/>
    </row>
    <row r="3068" spans="7:7" x14ac:dyDescent="0.3">
      <c r="G3068"/>
    </row>
    <row r="3069" spans="7:7" x14ac:dyDescent="0.3">
      <c r="G3069"/>
    </row>
    <row r="3070" spans="7:7" x14ac:dyDescent="0.3">
      <c r="G3070"/>
    </row>
    <row r="3071" spans="7:7" x14ac:dyDescent="0.3">
      <c r="G3071"/>
    </row>
    <row r="3072" spans="7:7" x14ac:dyDescent="0.3">
      <c r="G3072"/>
    </row>
    <row r="3073" spans="7:7" x14ac:dyDescent="0.3">
      <c r="G3073"/>
    </row>
    <row r="3074" spans="7:7" x14ac:dyDescent="0.3">
      <c r="G3074"/>
    </row>
    <row r="3075" spans="7:7" x14ac:dyDescent="0.3">
      <c r="G3075"/>
    </row>
    <row r="3076" spans="7:7" x14ac:dyDescent="0.3">
      <c r="G3076"/>
    </row>
    <row r="3077" spans="7:7" x14ac:dyDescent="0.3">
      <c r="G3077"/>
    </row>
    <row r="3078" spans="7:7" x14ac:dyDescent="0.3">
      <c r="G3078"/>
    </row>
    <row r="3079" spans="7:7" x14ac:dyDescent="0.3">
      <c r="G3079"/>
    </row>
    <row r="3080" spans="7:7" x14ac:dyDescent="0.3">
      <c r="G3080"/>
    </row>
    <row r="3081" spans="7:7" x14ac:dyDescent="0.3">
      <c r="G3081"/>
    </row>
    <row r="3082" spans="7:7" x14ac:dyDescent="0.3">
      <c r="G3082"/>
    </row>
    <row r="3083" spans="7:7" x14ac:dyDescent="0.3">
      <c r="G3083"/>
    </row>
    <row r="3084" spans="7:7" x14ac:dyDescent="0.3">
      <c r="G3084"/>
    </row>
    <row r="3085" spans="7:7" x14ac:dyDescent="0.3">
      <c r="G3085"/>
    </row>
    <row r="3086" spans="7:7" x14ac:dyDescent="0.3">
      <c r="G3086"/>
    </row>
    <row r="3087" spans="7:7" x14ac:dyDescent="0.3">
      <c r="G3087"/>
    </row>
    <row r="3088" spans="7:7" x14ac:dyDescent="0.3">
      <c r="G3088"/>
    </row>
    <row r="3089" spans="7:7" x14ac:dyDescent="0.3">
      <c r="G3089"/>
    </row>
    <row r="3090" spans="7:7" x14ac:dyDescent="0.3">
      <c r="G3090"/>
    </row>
    <row r="3091" spans="7:7" x14ac:dyDescent="0.3">
      <c r="G3091"/>
    </row>
    <row r="3092" spans="7:7" x14ac:dyDescent="0.3">
      <c r="G3092"/>
    </row>
    <row r="3093" spans="7:7" x14ac:dyDescent="0.3">
      <c r="G3093"/>
    </row>
    <row r="3094" spans="7:7" x14ac:dyDescent="0.3">
      <c r="G3094"/>
    </row>
    <row r="3095" spans="7:7" x14ac:dyDescent="0.3">
      <c r="G3095"/>
    </row>
    <row r="3096" spans="7:7" x14ac:dyDescent="0.3">
      <c r="G3096"/>
    </row>
    <row r="3097" spans="7:7" x14ac:dyDescent="0.3">
      <c r="G3097"/>
    </row>
    <row r="3098" spans="7:7" x14ac:dyDescent="0.3">
      <c r="G3098"/>
    </row>
    <row r="3099" spans="7:7" x14ac:dyDescent="0.3">
      <c r="G3099"/>
    </row>
    <row r="3100" spans="7:7" x14ac:dyDescent="0.3">
      <c r="G3100"/>
    </row>
    <row r="3101" spans="7:7" x14ac:dyDescent="0.3">
      <c r="G3101"/>
    </row>
    <row r="3102" spans="7:7" x14ac:dyDescent="0.3">
      <c r="G3102"/>
    </row>
    <row r="3103" spans="7:7" x14ac:dyDescent="0.3">
      <c r="G3103"/>
    </row>
    <row r="3104" spans="7:7" x14ac:dyDescent="0.3">
      <c r="G3104"/>
    </row>
    <row r="3105" spans="7:7" x14ac:dyDescent="0.3">
      <c r="G3105"/>
    </row>
    <row r="3106" spans="7:7" x14ac:dyDescent="0.3">
      <c r="G3106"/>
    </row>
    <row r="3107" spans="7:7" x14ac:dyDescent="0.3">
      <c r="G3107"/>
    </row>
    <row r="3108" spans="7:7" x14ac:dyDescent="0.3">
      <c r="G3108"/>
    </row>
    <row r="3109" spans="7:7" x14ac:dyDescent="0.3">
      <c r="G3109"/>
    </row>
    <row r="3110" spans="7:7" x14ac:dyDescent="0.3">
      <c r="G3110"/>
    </row>
    <row r="3111" spans="7:7" x14ac:dyDescent="0.3">
      <c r="G3111"/>
    </row>
    <row r="3112" spans="7:7" x14ac:dyDescent="0.3">
      <c r="G3112"/>
    </row>
    <row r="3113" spans="7:7" x14ac:dyDescent="0.3">
      <c r="G3113"/>
    </row>
    <row r="3114" spans="7:7" x14ac:dyDescent="0.3">
      <c r="G3114"/>
    </row>
    <row r="3115" spans="7:7" x14ac:dyDescent="0.3">
      <c r="G3115"/>
    </row>
    <row r="3116" spans="7:7" x14ac:dyDescent="0.3">
      <c r="G3116"/>
    </row>
    <row r="3117" spans="7:7" x14ac:dyDescent="0.3">
      <c r="G3117"/>
    </row>
    <row r="3118" spans="7:7" x14ac:dyDescent="0.3">
      <c r="G3118"/>
    </row>
    <row r="3119" spans="7:7" x14ac:dyDescent="0.3">
      <c r="G3119"/>
    </row>
    <row r="3120" spans="7:7" x14ac:dyDescent="0.3">
      <c r="G3120"/>
    </row>
    <row r="3121" spans="7:7" x14ac:dyDescent="0.3">
      <c r="G3121"/>
    </row>
    <row r="3122" spans="7:7" x14ac:dyDescent="0.3">
      <c r="G3122"/>
    </row>
    <row r="3123" spans="7:7" x14ac:dyDescent="0.3">
      <c r="G3123"/>
    </row>
    <row r="3124" spans="7:7" x14ac:dyDescent="0.3">
      <c r="G3124"/>
    </row>
    <row r="3125" spans="7:7" x14ac:dyDescent="0.3">
      <c r="G3125"/>
    </row>
    <row r="3126" spans="7:7" x14ac:dyDescent="0.3">
      <c r="G3126"/>
    </row>
    <row r="3127" spans="7:7" x14ac:dyDescent="0.3">
      <c r="G3127"/>
    </row>
    <row r="3128" spans="7:7" x14ac:dyDescent="0.3">
      <c r="G3128"/>
    </row>
    <row r="3129" spans="7:7" x14ac:dyDescent="0.3">
      <c r="G3129"/>
    </row>
    <row r="3130" spans="7:7" x14ac:dyDescent="0.3">
      <c r="G3130"/>
    </row>
    <row r="3131" spans="7:7" x14ac:dyDescent="0.3">
      <c r="G3131"/>
    </row>
    <row r="3132" spans="7:7" x14ac:dyDescent="0.3">
      <c r="G3132"/>
    </row>
    <row r="3133" spans="7:7" x14ac:dyDescent="0.3">
      <c r="G3133"/>
    </row>
    <row r="3134" spans="7:7" x14ac:dyDescent="0.3">
      <c r="G3134"/>
    </row>
    <row r="3135" spans="7:7" x14ac:dyDescent="0.3">
      <c r="G3135"/>
    </row>
    <row r="3136" spans="7:7" x14ac:dyDescent="0.3">
      <c r="G3136"/>
    </row>
    <row r="3137" spans="7:7" x14ac:dyDescent="0.3">
      <c r="G3137"/>
    </row>
    <row r="3138" spans="7:7" x14ac:dyDescent="0.3">
      <c r="G3138"/>
    </row>
    <row r="3139" spans="7:7" x14ac:dyDescent="0.3">
      <c r="G3139"/>
    </row>
    <row r="3140" spans="7:7" x14ac:dyDescent="0.3">
      <c r="G3140"/>
    </row>
    <row r="3141" spans="7:7" x14ac:dyDescent="0.3">
      <c r="G3141"/>
    </row>
    <row r="3142" spans="7:7" x14ac:dyDescent="0.3">
      <c r="G3142"/>
    </row>
    <row r="3143" spans="7:7" x14ac:dyDescent="0.3">
      <c r="G3143"/>
    </row>
    <row r="3144" spans="7:7" x14ac:dyDescent="0.3">
      <c r="G3144"/>
    </row>
    <row r="3145" spans="7:7" x14ac:dyDescent="0.3">
      <c r="G3145"/>
    </row>
    <row r="3146" spans="7:7" x14ac:dyDescent="0.3">
      <c r="G3146"/>
    </row>
    <row r="3147" spans="7:7" x14ac:dyDescent="0.3">
      <c r="G3147"/>
    </row>
    <row r="3148" spans="7:7" x14ac:dyDescent="0.3">
      <c r="G3148"/>
    </row>
    <row r="3149" spans="7:7" x14ac:dyDescent="0.3">
      <c r="G3149"/>
    </row>
    <row r="3150" spans="7:7" x14ac:dyDescent="0.3">
      <c r="G3150"/>
    </row>
    <row r="3151" spans="7:7" x14ac:dyDescent="0.3">
      <c r="G3151"/>
    </row>
    <row r="3152" spans="7:7" x14ac:dyDescent="0.3">
      <c r="G3152"/>
    </row>
    <row r="3153" spans="7:7" x14ac:dyDescent="0.3">
      <c r="G3153"/>
    </row>
    <row r="3154" spans="7:7" x14ac:dyDescent="0.3">
      <c r="G3154"/>
    </row>
    <row r="3155" spans="7:7" x14ac:dyDescent="0.3">
      <c r="G3155"/>
    </row>
    <row r="3156" spans="7:7" x14ac:dyDescent="0.3">
      <c r="G3156"/>
    </row>
    <row r="3157" spans="7:7" x14ac:dyDescent="0.3">
      <c r="G3157"/>
    </row>
    <row r="3158" spans="7:7" x14ac:dyDescent="0.3">
      <c r="G3158"/>
    </row>
    <row r="3159" spans="7:7" x14ac:dyDescent="0.3">
      <c r="G3159"/>
    </row>
    <row r="3160" spans="7:7" x14ac:dyDescent="0.3">
      <c r="G3160"/>
    </row>
    <row r="3161" spans="7:7" x14ac:dyDescent="0.3">
      <c r="G3161"/>
    </row>
    <row r="3162" spans="7:7" x14ac:dyDescent="0.3">
      <c r="G3162"/>
    </row>
    <row r="3163" spans="7:7" x14ac:dyDescent="0.3">
      <c r="G3163"/>
    </row>
    <row r="3164" spans="7:7" x14ac:dyDescent="0.3">
      <c r="G3164"/>
    </row>
    <row r="3165" spans="7:7" x14ac:dyDescent="0.3">
      <c r="G3165"/>
    </row>
    <row r="3166" spans="7:7" x14ac:dyDescent="0.3">
      <c r="G3166"/>
    </row>
    <row r="3167" spans="7:7" x14ac:dyDescent="0.3">
      <c r="G3167"/>
    </row>
    <row r="3168" spans="7:7" x14ac:dyDescent="0.3">
      <c r="G3168"/>
    </row>
    <row r="3169" spans="7:7" x14ac:dyDescent="0.3">
      <c r="G3169"/>
    </row>
    <row r="3170" spans="7:7" x14ac:dyDescent="0.3">
      <c r="G3170"/>
    </row>
    <row r="3171" spans="7:7" x14ac:dyDescent="0.3">
      <c r="G3171"/>
    </row>
    <row r="3172" spans="7:7" x14ac:dyDescent="0.3">
      <c r="G3172"/>
    </row>
    <row r="3173" spans="7:7" x14ac:dyDescent="0.3">
      <c r="G3173"/>
    </row>
    <row r="3174" spans="7:7" x14ac:dyDescent="0.3">
      <c r="G3174"/>
    </row>
    <row r="3175" spans="7:7" x14ac:dyDescent="0.3">
      <c r="G3175"/>
    </row>
    <row r="3176" spans="7:7" x14ac:dyDescent="0.3">
      <c r="G3176"/>
    </row>
    <row r="3177" spans="7:7" x14ac:dyDescent="0.3">
      <c r="G3177"/>
    </row>
    <row r="3178" spans="7:7" x14ac:dyDescent="0.3">
      <c r="G3178"/>
    </row>
    <row r="3179" spans="7:7" x14ac:dyDescent="0.3">
      <c r="G3179"/>
    </row>
    <row r="3180" spans="7:7" x14ac:dyDescent="0.3">
      <c r="G3180"/>
    </row>
    <row r="3181" spans="7:7" x14ac:dyDescent="0.3">
      <c r="G3181"/>
    </row>
    <row r="3182" spans="7:7" x14ac:dyDescent="0.3">
      <c r="G3182"/>
    </row>
    <row r="3183" spans="7:7" x14ac:dyDescent="0.3">
      <c r="G3183"/>
    </row>
    <row r="3184" spans="7:7" x14ac:dyDescent="0.3">
      <c r="G3184"/>
    </row>
    <row r="3185" spans="7:7" x14ac:dyDescent="0.3">
      <c r="G3185"/>
    </row>
    <row r="3186" spans="7:7" x14ac:dyDescent="0.3">
      <c r="G3186"/>
    </row>
    <row r="3187" spans="7:7" x14ac:dyDescent="0.3">
      <c r="G3187"/>
    </row>
    <row r="3188" spans="7:7" x14ac:dyDescent="0.3">
      <c r="G3188"/>
    </row>
    <row r="3189" spans="7:7" x14ac:dyDescent="0.3">
      <c r="G3189"/>
    </row>
    <row r="3190" spans="7:7" x14ac:dyDescent="0.3">
      <c r="G3190"/>
    </row>
    <row r="3191" spans="7:7" x14ac:dyDescent="0.3">
      <c r="G3191"/>
    </row>
    <row r="3192" spans="7:7" x14ac:dyDescent="0.3">
      <c r="G3192"/>
    </row>
    <row r="3193" spans="7:7" x14ac:dyDescent="0.3">
      <c r="G3193"/>
    </row>
    <row r="3194" spans="7:7" x14ac:dyDescent="0.3">
      <c r="G3194"/>
    </row>
    <row r="3195" spans="7:7" x14ac:dyDescent="0.3">
      <c r="G3195"/>
    </row>
    <row r="3196" spans="7:7" x14ac:dyDescent="0.3">
      <c r="G3196"/>
    </row>
    <row r="3197" spans="7:7" x14ac:dyDescent="0.3">
      <c r="G3197"/>
    </row>
    <row r="3198" spans="7:7" x14ac:dyDescent="0.3">
      <c r="G3198"/>
    </row>
    <row r="3199" spans="7:7" x14ac:dyDescent="0.3">
      <c r="G3199"/>
    </row>
    <row r="3200" spans="7:7" x14ac:dyDescent="0.3">
      <c r="G3200"/>
    </row>
    <row r="3201" spans="7:7" x14ac:dyDescent="0.3">
      <c r="G3201"/>
    </row>
    <row r="3202" spans="7:7" x14ac:dyDescent="0.3">
      <c r="G3202"/>
    </row>
    <row r="3203" spans="7:7" x14ac:dyDescent="0.3">
      <c r="G3203"/>
    </row>
    <row r="3204" spans="7:7" x14ac:dyDescent="0.3">
      <c r="G3204"/>
    </row>
    <row r="3205" spans="7:7" x14ac:dyDescent="0.3">
      <c r="G3205"/>
    </row>
    <row r="3206" spans="7:7" x14ac:dyDescent="0.3">
      <c r="G3206"/>
    </row>
    <row r="3207" spans="7:7" x14ac:dyDescent="0.3">
      <c r="G3207"/>
    </row>
    <row r="3208" spans="7:7" x14ac:dyDescent="0.3">
      <c r="G3208"/>
    </row>
    <row r="3209" spans="7:7" x14ac:dyDescent="0.3">
      <c r="G3209"/>
    </row>
    <row r="3210" spans="7:7" x14ac:dyDescent="0.3">
      <c r="G3210"/>
    </row>
    <row r="3211" spans="7:7" x14ac:dyDescent="0.3">
      <c r="G3211"/>
    </row>
    <row r="3212" spans="7:7" x14ac:dyDescent="0.3">
      <c r="G3212"/>
    </row>
    <row r="3213" spans="7:7" x14ac:dyDescent="0.3">
      <c r="G3213"/>
    </row>
    <row r="3214" spans="7:7" x14ac:dyDescent="0.3">
      <c r="G3214"/>
    </row>
    <row r="3215" spans="7:7" x14ac:dyDescent="0.3">
      <c r="G3215"/>
    </row>
    <row r="3216" spans="7:7" x14ac:dyDescent="0.3">
      <c r="G3216"/>
    </row>
    <row r="3217" spans="7:7" x14ac:dyDescent="0.3">
      <c r="G3217"/>
    </row>
    <row r="3218" spans="7:7" x14ac:dyDescent="0.3">
      <c r="G3218"/>
    </row>
    <row r="3219" spans="7:7" x14ac:dyDescent="0.3">
      <c r="G3219"/>
    </row>
    <row r="3220" spans="7:7" x14ac:dyDescent="0.3">
      <c r="G3220"/>
    </row>
    <row r="3221" spans="7:7" x14ac:dyDescent="0.3">
      <c r="G3221"/>
    </row>
    <row r="3222" spans="7:7" x14ac:dyDescent="0.3">
      <c r="G3222"/>
    </row>
    <row r="3223" spans="7:7" x14ac:dyDescent="0.3">
      <c r="G3223"/>
    </row>
    <row r="3224" spans="7:7" x14ac:dyDescent="0.3">
      <c r="G3224"/>
    </row>
    <row r="3225" spans="7:7" x14ac:dyDescent="0.3">
      <c r="G3225"/>
    </row>
    <row r="3226" spans="7:7" x14ac:dyDescent="0.3">
      <c r="G3226"/>
    </row>
    <row r="3227" spans="7:7" x14ac:dyDescent="0.3">
      <c r="G3227"/>
    </row>
    <row r="3228" spans="7:7" x14ac:dyDescent="0.3">
      <c r="G3228"/>
    </row>
    <row r="3229" spans="7:7" x14ac:dyDescent="0.3">
      <c r="G3229"/>
    </row>
    <row r="3230" spans="7:7" x14ac:dyDescent="0.3">
      <c r="G3230"/>
    </row>
    <row r="3231" spans="7:7" x14ac:dyDescent="0.3">
      <c r="G3231"/>
    </row>
    <row r="3232" spans="7:7" x14ac:dyDescent="0.3">
      <c r="G3232"/>
    </row>
    <row r="3233" spans="7:7" x14ac:dyDescent="0.3">
      <c r="G3233"/>
    </row>
    <row r="3234" spans="7:7" x14ac:dyDescent="0.3">
      <c r="G3234"/>
    </row>
    <row r="3235" spans="7:7" x14ac:dyDescent="0.3">
      <c r="G3235"/>
    </row>
    <row r="3236" spans="7:7" x14ac:dyDescent="0.3">
      <c r="G3236"/>
    </row>
    <row r="3237" spans="7:7" x14ac:dyDescent="0.3">
      <c r="G3237"/>
    </row>
    <row r="3238" spans="7:7" x14ac:dyDescent="0.3">
      <c r="G3238"/>
    </row>
    <row r="3239" spans="7:7" x14ac:dyDescent="0.3">
      <c r="G3239"/>
    </row>
    <row r="3240" spans="7:7" x14ac:dyDescent="0.3">
      <c r="G3240"/>
    </row>
    <row r="3241" spans="7:7" x14ac:dyDescent="0.3">
      <c r="G3241"/>
    </row>
    <row r="3242" spans="7:7" x14ac:dyDescent="0.3">
      <c r="G3242"/>
    </row>
    <row r="3243" spans="7:7" x14ac:dyDescent="0.3">
      <c r="G3243"/>
    </row>
    <row r="3244" spans="7:7" x14ac:dyDescent="0.3">
      <c r="G3244"/>
    </row>
    <row r="3245" spans="7:7" x14ac:dyDescent="0.3">
      <c r="G3245"/>
    </row>
    <row r="3246" spans="7:7" x14ac:dyDescent="0.3">
      <c r="G3246"/>
    </row>
    <row r="3247" spans="7:7" x14ac:dyDescent="0.3">
      <c r="G3247"/>
    </row>
    <row r="3248" spans="7:7" x14ac:dyDescent="0.3">
      <c r="G3248"/>
    </row>
    <row r="3249" spans="7:7" x14ac:dyDescent="0.3">
      <c r="G3249"/>
    </row>
    <row r="3250" spans="7:7" x14ac:dyDescent="0.3">
      <c r="G3250"/>
    </row>
    <row r="3251" spans="7:7" x14ac:dyDescent="0.3">
      <c r="G3251"/>
    </row>
    <row r="3252" spans="7:7" x14ac:dyDescent="0.3">
      <c r="G3252"/>
    </row>
    <row r="3253" spans="7:7" x14ac:dyDescent="0.3">
      <c r="G3253"/>
    </row>
    <row r="3254" spans="7:7" x14ac:dyDescent="0.3">
      <c r="G3254"/>
    </row>
    <row r="3255" spans="7:7" x14ac:dyDescent="0.3">
      <c r="G3255"/>
    </row>
    <row r="3256" spans="7:7" x14ac:dyDescent="0.3">
      <c r="G3256"/>
    </row>
    <row r="3257" spans="7:7" x14ac:dyDescent="0.3">
      <c r="G3257"/>
    </row>
    <row r="3258" spans="7:7" x14ac:dyDescent="0.3">
      <c r="G3258"/>
    </row>
    <row r="3259" spans="7:7" x14ac:dyDescent="0.3">
      <c r="G3259"/>
    </row>
    <row r="3260" spans="7:7" x14ac:dyDescent="0.3">
      <c r="G3260"/>
    </row>
    <row r="3261" spans="7:7" x14ac:dyDescent="0.3">
      <c r="G3261"/>
    </row>
    <row r="3262" spans="7:7" x14ac:dyDescent="0.3">
      <c r="G3262"/>
    </row>
    <row r="3263" spans="7:7" x14ac:dyDescent="0.3">
      <c r="G3263"/>
    </row>
    <row r="3264" spans="7:7" x14ac:dyDescent="0.3">
      <c r="G3264"/>
    </row>
    <row r="3265" spans="7:7" x14ac:dyDescent="0.3">
      <c r="G3265"/>
    </row>
    <row r="3266" spans="7:7" x14ac:dyDescent="0.3">
      <c r="G3266"/>
    </row>
    <row r="3267" spans="7:7" x14ac:dyDescent="0.3">
      <c r="G3267"/>
    </row>
    <row r="3268" spans="7:7" x14ac:dyDescent="0.3">
      <c r="G3268"/>
    </row>
    <row r="3269" spans="7:7" x14ac:dyDescent="0.3">
      <c r="G3269"/>
    </row>
    <row r="3270" spans="7:7" x14ac:dyDescent="0.3">
      <c r="G3270"/>
    </row>
    <row r="3271" spans="7:7" x14ac:dyDescent="0.3">
      <c r="G3271"/>
    </row>
    <row r="3272" spans="7:7" x14ac:dyDescent="0.3">
      <c r="G3272"/>
    </row>
    <row r="3273" spans="7:7" x14ac:dyDescent="0.3">
      <c r="G3273"/>
    </row>
    <row r="3274" spans="7:7" x14ac:dyDescent="0.3">
      <c r="G3274"/>
    </row>
    <row r="3275" spans="7:7" x14ac:dyDescent="0.3">
      <c r="G3275"/>
    </row>
    <row r="3276" spans="7:7" x14ac:dyDescent="0.3">
      <c r="G3276"/>
    </row>
    <row r="3277" spans="7:7" x14ac:dyDescent="0.3">
      <c r="G3277"/>
    </row>
    <row r="3278" spans="7:7" x14ac:dyDescent="0.3">
      <c r="G3278"/>
    </row>
    <row r="3279" spans="7:7" x14ac:dyDescent="0.3">
      <c r="G3279"/>
    </row>
    <row r="3280" spans="7:7" x14ac:dyDescent="0.3">
      <c r="G3280"/>
    </row>
    <row r="3281" spans="7:7" x14ac:dyDescent="0.3">
      <c r="G3281"/>
    </row>
    <row r="3282" spans="7:7" x14ac:dyDescent="0.3">
      <c r="G3282"/>
    </row>
    <row r="3283" spans="7:7" x14ac:dyDescent="0.3">
      <c r="G3283"/>
    </row>
    <row r="3284" spans="7:7" x14ac:dyDescent="0.3">
      <c r="G3284"/>
    </row>
    <row r="3285" spans="7:7" x14ac:dyDescent="0.3">
      <c r="G3285"/>
    </row>
    <row r="3286" spans="7:7" x14ac:dyDescent="0.3">
      <c r="G3286"/>
    </row>
    <row r="3287" spans="7:7" x14ac:dyDescent="0.3">
      <c r="G3287"/>
    </row>
    <row r="3288" spans="7:7" x14ac:dyDescent="0.3">
      <c r="G3288"/>
    </row>
    <row r="3289" spans="7:7" x14ac:dyDescent="0.3">
      <c r="G3289"/>
    </row>
    <row r="3290" spans="7:7" x14ac:dyDescent="0.3">
      <c r="G3290"/>
    </row>
    <row r="3291" spans="7:7" x14ac:dyDescent="0.3">
      <c r="G3291"/>
    </row>
    <row r="3292" spans="7:7" x14ac:dyDescent="0.3">
      <c r="G3292"/>
    </row>
    <row r="3293" spans="7:7" x14ac:dyDescent="0.3">
      <c r="G3293"/>
    </row>
    <row r="3294" spans="7:7" x14ac:dyDescent="0.3">
      <c r="G3294"/>
    </row>
    <row r="3295" spans="7:7" x14ac:dyDescent="0.3">
      <c r="G3295"/>
    </row>
    <row r="3296" spans="7:7" x14ac:dyDescent="0.3">
      <c r="G3296"/>
    </row>
    <row r="3297" spans="7:7" x14ac:dyDescent="0.3">
      <c r="G3297"/>
    </row>
    <row r="3298" spans="7:7" x14ac:dyDescent="0.3">
      <c r="G3298"/>
    </row>
    <row r="3299" spans="7:7" x14ac:dyDescent="0.3">
      <c r="G3299"/>
    </row>
    <row r="3300" spans="7:7" x14ac:dyDescent="0.3">
      <c r="G3300"/>
    </row>
    <row r="3301" spans="7:7" x14ac:dyDescent="0.3">
      <c r="G3301"/>
    </row>
    <row r="3302" spans="7:7" x14ac:dyDescent="0.3">
      <c r="G3302"/>
    </row>
    <row r="3303" spans="7:7" x14ac:dyDescent="0.3">
      <c r="G3303"/>
    </row>
    <row r="3304" spans="7:7" x14ac:dyDescent="0.3">
      <c r="G3304"/>
    </row>
    <row r="3305" spans="7:7" x14ac:dyDescent="0.3">
      <c r="G3305"/>
    </row>
    <row r="3306" spans="7:7" x14ac:dyDescent="0.3">
      <c r="G3306"/>
    </row>
    <row r="3307" spans="7:7" x14ac:dyDescent="0.3">
      <c r="G3307"/>
    </row>
    <row r="3308" spans="7:7" x14ac:dyDescent="0.3">
      <c r="G3308"/>
    </row>
    <row r="3309" spans="7:7" x14ac:dyDescent="0.3">
      <c r="G3309"/>
    </row>
    <row r="3310" spans="7:7" x14ac:dyDescent="0.3">
      <c r="G3310"/>
    </row>
    <row r="3311" spans="7:7" x14ac:dyDescent="0.3">
      <c r="G3311"/>
    </row>
    <row r="3312" spans="7:7" x14ac:dyDescent="0.3">
      <c r="G3312"/>
    </row>
    <row r="3313" spans="7:7" x14ac:dyDescent="0.3">
      <c r="G3313"/>
    </row>
    <row r="3314" spans="7:7" x14ac:dyDescent="0.3">
      <c r="G3314"/>
    </row>
    <row r="3315" spans="7:7" x14ac:dyDescent="0.3">
      <c r="G3315"/>
    </row>
    <row r="3316" spans="7:7" x14ac:dyDescent="0.3">
      <c r="G3316"/>
    </row>
    <row r="3317" spans="7:7" x14ac:dyDescent="0.3">
      <c r="G3317"/>
    </row>
    <row r="3318" spans="7:7" x14ac:dyDescent="0.3">
      <c r="G3318"/>
    </row>
    <row r="3319" spans="7:7" x14ac:dyDescent="0.3">
      <c r="G3319"/>
    </row>
    <row r="3320" spans="7:7" x14ac:dyDescent="0.3">
      <c r="G3320"/>
    </row>
    <row r="3321" spans="7:7" x14ac:dyDescent="0.3">
      <c r="G3321"/>
    </row>
    <row r="3322" spans="7:7" x14ac:dyDescent="0.3">
      <c r="G3322"/>
    </row>
    <row r="3323" spans="7:7" x14ac:dyDescent="0.3">
      <c r="G3323"/>
    </row>
    <row r="3324" spans="7:7" x14ac:dyDescent="0.3">
      <c r="G3324"/>
    </row>
    <row r="3325" spans="7:7" x14ac:dyDescent="0.3">
      <c r="G3325"/>
    </row>
    <row r="3326" spans="7:7" x14ac:dyDescent="0.3">
      <c r="G3326"/>
    </row>
    <row r="3327" spans="7:7" x14ac:dyDescent="0.3">
      <c r="G3327"/>
    </row>
    <row r="3328" spans="7:7" x14ac:dyDescent="0.3">
      <c r="G3328"/>
    </row>
    <row r="3329" spans="7:7" x14ac:dyDescent="0.3">
      <c r="G3329"/>
    </row>
    <row r="3330" spans="7:7" x14ac:dyDescent="0.3">
      <c r="G3330"/>
    </row>
    <row r="3331" spans="7:7" x14ac:dyDescent="0.3">
      <c r="G3331"/>
    </row>
    <row r="3332" spans="7:7" x14ac:dyDescent="0.3">
      <c r="G3332"/>
    </row>
    <row r="3333" spans="7:7" x14ac:dyDescent="0.3">
      <c r="G3333"/>
    </row>
    <row r="3334" spans="7:7" x14ac:dyDescent="0.3">
      <c r="G3334"/>
    </row>
    <row r="3335" spans="7:7" x14ac:dyDescent="0.3">
      <c r="G3335"/>
    </row>
    <row r="3336" spans="7:7" x14ac:dyDescent="0.3">
      <c r="G3336"/>
    </row>
    <row r="3337" spans="7:7" x14ac:dyDescent="0.3">
      <c r="G3337"/>
    </row>
    <row r="3338" spans="7:7" x14ac:dyDescent="0.3">
      <c r="G3338"/>
    </row>
    <row r="3339" spans="7:7" x14ac:dyDescent="0.3">
      <c r="G3339"/>
    </row>
    <row r="3340" spans="7:7" x14ac:dyDescent="0.3">
      <c r="G3340"/>
    </row>
    <row r="3341" spans="7:7" x14ac:dyDescent="0.3">
      <c r="G3341"/>
    </row>
    <row r="3342" spans="7:7" x14ac:dyDescent="0.3">
      <c r="G3342"/>
    </row>
    <row r="3343" spans="7:7" x14ac:dyDescent="0.3">
      <c r="G3343"/>
    </row>
    <row r="3344" spans="7:7" x14ac:dyDescent="0.3">
      <c r="G3344"/>
    </row>
    <row r="3345" spans="7:7" x14ac:dyDescent="0.3">
      <c r="G3345"/>
    </row>
    <row r="3346" spans="7:7" x14ac:dyDescent="0.3">
      <c r="G3346"/>
    </row>
    <row r="3347" spans="7:7" x14ac:dyDescent="0.3">
      <c r="G3347"/>
    </row>
    <row r="3348" spans="7:7" x14ac:dyDescent="0.3">
      <c r="G3348"/>
    </row>
    <row r="3349" spans="7:7" x14ac:dyDescent="0.3">
      <c r="G3349"/>
    </row>
    <row r="3350" spans="7:7" x14ac:dyDescent="0.3">
      <c r="G3350"/>
    </row>
    <row r="3351" spans="7:7" x14ac:dyDescent="0.3">
      <c r="G3351"/>
    </row>
    <row r="3352" spans="7:7" x14ac:dyDescent="0.3">
      <c r="G3352"/>
    </row>
    <row r="3353" spans="7:7" x14ac:dyDescent="0.3">
      <c r="G3353"/>
    </row>
    <row r="3354" spans="7:7" x14ac:dyDescent="0.3">
      <c r="G3354"/>
    </row>
    <row r="3355" spans="7:7" x14ac:dyDescent="0.3">
      <c r="G3355"/>
    </row>
    <row r="3356" spans="7:7" x14ac:dyDescent="0.3">
      <c r="G3356"/>
    </row>
    <row r="3357" spans="7:7" x14ac:dyDescent="0.3">
      <c r="G3357"/>
    </row>
    <row r="3358" spans="7:7" x14ac:dyDescent="0.3">
      <c r="G3358"/>
    </row>
    <row r="3359" spans="7:7" x14ac:dyDescent="0.3">
      <c r="G3359"/>
    </row>
    <row r="3360" spans="7:7" x14ac:dyDescent="0.3">
      <c r="G3360"/>
    </row>
    <row r="3361" spans="7:7" x14ac:dyDescent="0.3">
      <c r="G3361"/>
    </row>
    <row r="3362" spans="7:7" x14ac:dyDescent="0.3">
      <c r="G3362"/>
    </row>
    <row r="3363" spans="7:7" x14ac:dyDescent="0.3">
      <c r="G3363"/>
    </row>
    <row r="3364" spans="7:7" x14ac:dyDescent="0.3">
      <c r="G3364"/>
    </row>
    <row r="3365" spans="7:7" x14ac:dyDescent="0.3">
      <c r="G3365"/>
    </row>
    <row r="3366" spans="7:7" x14ac:dyDescent="0.3">
      <c r="G3366"/>
    </row>
    <row r="3367" spans="7:7" x14ac:dyDescent="0.3">
      <c r="G3367"/>
    </row>
    <row r="3368" spans="7:7" x14ac:dyDescent="0.3">
      <c r="G3368"/>
    </row>
    <row r="3369" spans="7:7" x14ac:dyDescent="0.3">
      <c r="G3369"/>
    </row>
    <row r="3370" spans="7:7" x14ac:dyDescent="0.3">
      <c r="G3370"/>
    </row>
    <row r="3371" spans="7:7" x14ac:dyDescent="0.3">
      <c r="G3371"/>
    </row>
    <row r="3372" spans="7:7" x14ac:dyDescent="0.3">
      <c r="G3372"/>
    </row>
    <row r="3373" spans="7:7" x14ac:dyDescent="0.3">
      <c r="G3373"/>
    </row>
    <row r="3374" spans="7:7" x14ac:dyDescent="0.3">
      <c r="G3374"/>
    </row>
    <row r="3375" spans="7:7" x14ac:dyDescent="0.3">
      <c r="G3375"/>
    </row>
    <row r="3376" spans="7:7" x14ac:dyDescent="0.3">
      <c r="G3376"/>
    </row>
    <row r="3377" spans="7:7" x14ac:dyDescent="0.3">
      <c r="G3377"/>
    </row>
    <row r="3378" spans="7:7" x14ac:dyDescent="0.3">
      <c r="G3378"/>
    </row>
    <row r="3379" spans="7:7" x14ac:dyDescent="0.3">
      <c r="G3379"/>
    </row>
    <row r="3380" spans="7:7" x14ac:dyDescent="0.3">
      <c r="G3380"/>
    </row>
    <row r="3381" spans="7:7" x14ac:dyDescent="0.3">
      <c r="G3381"/>
    </row>
    <row r="3382" spans="7:7" x14ac:dyDescent="0.3">
      <c r="G3382"/>
    </row>
    <row r="3383" spans="7:7" x14ac:dyDescent="0.3">
      <c r="G3383"/>
    </row>
    <row r="3384" spans="7:7" x14ac:dyDescent="0.3">
      <c r="G3384"/>
    </row>
    <row r="3385" spans="7:7" x14ac:dyDescent="0.3">
      <c r="G3385"/>
    </row>
    <row r="3386" spans="7:7" x14ac:dyDescent="0.3">
      <c r="G3386"/>
    </row>
    <row r="3387" spans="7:7" x14ac:dyDescent="0.3">
      <c r="G3387"/>
    </row>
    <row r="3388" spans="7:7" x14ac:dyDescent="0.3">
      <c r="G3388"/>
    </row>
    <row r="3389" spans="7:7" x14ac:dyDescent="0.3">
      <c r="G3389"/>
    </row>
    <row r="3390" spans="7:7" x14ac:dyDescent="0.3">
      <c r="G3390"/>
    </row>
    <row r="3391" spans="7:7" x14ac:dyDescent="0.3">
      <c r="G3391"/>
    </row>
    <row r="3392" spans="7:7" x14ac:dyDescent="0.3">
      <c r="G3392"/>
    </row>
    <row r="3393" spans="7:7" x14ac:dyDescent="0.3">
      <c r="G3393"/>
    </row>
    <row r="3394" spans="7:7" x14ac:dyDescent="0.3">
      <c r="G3394"/>
    </row>
    <row r="3395" spans="7:7" x14ac:dyDescent="0.3">
      <c r="G3395"/>
    </row>
    <row r="3396" spans="7:7" x14ac:dyDescent="0.3">
      <c r="G3396"/>
    </row>
    <row r="3397" spans="7:7" x14ac:dyDescent="0.3">
      <c r="G3397"/>
    </row>
    <row r="3398" spans="7:7" x14ac:dyDescent="0.3">
      <c r="G3398"/>
    </row>
    <row r="3399" spans="7:7" x14ac:dyDescent="0.3">
      <c r="G3399"/>
    </row>
    <row r="3400" spans="7:7" x14ac:dyDescent="0.3">
      <c r="G3400"/>
    </row>
    <row r="3401" spans="7:7" x14ac:dyDescent="0.3">
      <c r="G3401"/>
    </row>
    <row r="3402" spans="7:7" x14ac:dyDescent="0.3">
      <c r="G3402"/>
    </row>
    <row r="3403" spans="7:7" x14ac:dyDescent="0.3">
      <c r="G3403"/>
    </row>
    <row r="3404" spans="7:7" x14ac:dyDescent="0.3">
      <c r="G3404"/>
    </row>
    <row r="3405" spans="7:7" x14ac:dyDescent="0.3">
      <c r="G3405"/>
    </row>
    <row r="3406" spans="7:7" x14ac:dyDescent="0.3">
      <c r="G3406"/>
    </row>
    <row r="3407" spans="7:7" x14ac:dyDescent="0.3">
      <c r="G3407"/>
    </row>
    <row r="3408" spans="7:7" x14ac:dyDescent="0.3">
      <c r="G3408"/>
    </row>
    <row r="3409" spans="7:7" x14ac:dyDescent="0.3">
      <c r="G3409"/>
    </row>
    <row r="3410" spans="7:7" x14ac:dyDescent="0.3">
      <c r="G3410"/>
    </row>
    <row r="3411" spans="7:7" x14ac:dyDescent="0.3">
      <c r="G3411"/>
    </row>
    <row r="3412" spans="7:7" x14ac:dyDescent="0.3">
      <c r="G3412"/>
    </row>
    <row r="3413" spans="7:7" x14ac:dyDescent="0.3">
      <c r="G3413"/>
    </row>
    <row r="3414" spans="7:7" x14ac:dyDescent="0.3">
      <c r="G3414"/>
    </row>
    <row r="3415" spans="7:7" x14ac:dyDescent="0.3">
      <c r="G3415"/>
    </row>
    <row r="3416" spans="7:7" x14ac:dyDescent="0.3">
      <c r="G3416"/>
    </row>
    <row r="3417" spans="7:7" x14ac:dyDescent="0.3">
      <c r="G3417"/>
    </row>
    <row r="3418" spans="7:7" x14ac:dyDescent="0.3">
      <c r="G3418"/>
    </row>
    <row r="3419" spans="7:7" x14ac:dyDescent="0.3">
      <c r="G3419"/>
    </row>
    <row r="3420" spans="7:7" x14ac:dyDescent="0.3">
      <c r="G3420"/>
    </row>
    <row r="3421" spans="7:7" x14ac:dyDescent="0.3">
      <c r="G3421"/>
    </row>
    <row r="3422" spans="7:7" x14ac:dyDescent="0.3">
      <c r="G3422"/>
    </row>
    <row r="3423" spans="7:7" x14ac:dyDescent="0.3">
      <c r="G3423"/>
    </row>
    <row r="3424" spans="7:7" x14ac:dyDescent="0.3">
      <c r="G3424"/>
    </row>
    <row r="3425" spans="7:7" x14ac:dyDescent="0.3">
      <c r="G3425"/>
    </row>
    <row r="3426" spans="7:7" x14ac:dyDescent="0.3">
      <c r="G3426"/>
    </row>
    <row r="3427" spans="7:7" x14ac:dyDescent="0.3">
      <c r="G3427"/>
    </row>
    <row r="3428" spans="7:7" x14ac:dyDescent="0.3">
      <c r="G3428"/>
    </row>
    <row r="3429" spans="7:7" x14ac:dyDescent="0.3">
      <c r="G3429"/>
    </row>
    <row r="3430" spans="7:7" x14ac:dyDescent="0.3">
      <c r="G3430"/>
    </row>
    <row r="3431" spans="7:7" x14ac:dyDescent="0.3">
      <c r="G3431"/>
    </row>
    <row r="3432" spans="7:7" x14ac:dyDescent="0.3">
      <c r="G3432"/>
    </row>
    <row r="3433" spans="7:7" x14ac:dyDescent="0.3">
      <c r="G3433"/>
    </row>
    <row r="3434" spans="7:7" x14ac:dyDescent="0.3">
      <c r="G3434"/>
    </row>
    <row r="3435" spans="7:7" x14ac:dyDescent="0.3">
      <c r="G3435"/>
    </row>
    <row r="3436" spans="7:7" x14ac:dyDescent="0.3">
      <c r="G3436"/>
    </row>
    <row r="3437" spans="7:7" x14ac:dyDescent="0.3">
      <c r="G3437"/>
    </row>
    <row r="3438" spans="7:7" x14ac:dyDescent="0.3">
      <c r="G3438"/>
    </row>
    <row r="3439" spans="7:7" x14ac:dyDescent="0.3">
      <c r="G3439"/>
    </row>
    <row r="3440" spans="7:7" x14ac:dyDescent="0.3">
      <c r="G3440"/>
    </row>
    <row r="3441" spans="7:7" x14ac:dyDescent="0.3">
      <c r="G3441"/>
    </row>
    <row r="3442" spans="7:7" x14ac:dyDescent="0.3">
      <c r="G3442"/>
    </row>
    <row r="3443" spans="7:7" x14ac:dyDescent="0.3">
      <c r="G3443"/>
    </row>
    <row r="3444" spans="7:7" x14ac:dyDescent="0.3">
      <c r="G3444"/>
    </row>
    <row r="3445" spans="7:7" x14ac:dyDescent="0.3">
      <c r="G3445"/>
    </row>
    <row r="3446" spans="7:7" x14ac:dyDescent="0.3">
      <c r="G3446"/>
    </row>
    <row r="3447" spans="7:7" x14ac:dyDescent="0.3">
      <c r="G3447"/>
    </row>
    <row r="3448" spans="7:7" x14ac:dyDescent="0.3">
      <c r="G3448"/>
    </row>
    <row r="3449" spans="7:7" x14ac:dyDescent="0.3">
      <c r="G3449"/>
    </row>
    <row r="3450" spans="7:7" x14ac:dyDescent="0.3">
      <c r="G3450"/>
    </row>
    <row r="3451" spans="7:7" x14ac:dyDescent="0.3">
      <c r="G3451"/>
    </row>
    <row r="3452" spans="7:7" x14ac:dyDescent="0.3">
      <c r="G3452"/>
    </row>
    <row r="3453" spans="7:7" x14ac:dyDescent="0.3">
      <c r="G3453"/>
    </row>
    <row r="3454" spans="7:7" x14ac:dyDescent="0.3">
      <c r="G3454"/>
    </row>
    <row r="3455" spans="7:7" x14ac:dyDescent="0.3">
      <c r="G3455"/>
    </row>
    <row r="3456" spans="7:7" x14ac:dyDescent="0.3">
      <c r="G3456"/>
    </row>
    <row r="3457" spans="7:7" x14ac:dyDescent="0.3">
      <c r="G3457"/>
    </row>
    <row r="3458" spans="7:7" x14ac:dyDescent="0.3">
      <c r="G3458"/>
    </row>
    <row r="3459" spans="7:7" x14ac:dyDescent="0.3">
      <c r="G3459"/>
    </row>
    <row r="3460" spans="7:7" x14ac:dyDescent="0.3">
      <c r="G3460"/>
    </row>
    <row r="3461" spans="7:7" x14ac:dyDescent="0.3">
      <c r="G3461"/>
    </row>
    <row r="3462" spans="7:7" x14ac:dyDescent="0.3">
      <c r="G3462"/>
    </row>
    <row r="3463" spans="7:7" x14ac:dyDescent="0.3">
      <c r="G3463"/>
    </row>
    <row r="3464" spans="7:7" x14ac:dyDescent="0.3">
      <c r="G3464"/>
    </row>
    <row r="3465" spans="7:7" x14ac:dyDescent="0.3">
      <c r="G3465"/>
    </row>
    <row r="3466" spans="7:7" x14ac:dyDescent="0.3">
      <c r="G3466"/>
    </row>
    <row r="3467" spans="7:7" x14ac:dyDescent="0.3">
      <c r="G3467"/>
    </row>
    <row r="3468" spans="7:7" x14ac:dyDescent="0.3">
      <c r="G3468"/>
    </row>
    <row r="3469" spans="7:7" x14ac:dyDescent="0.3">
      <c r="G3469"/>
    </row>
    <row r="3470" spans="7:7" x14ac:dyDescent="0.3">
      <c r="G3470"/>
    </row>
    <row r="3471" spans="7:7" x14ac:dyDescent="0.3">
      <c r="G3471"/>
    </row>
    <row r="3472" spans="7:7" x14ac:dyDescent="0.3">
      <c r="G3472"/>
    </row>
    <row r="3473" spans="7:7" x14ac:dyDescent="0.3">
      <c r="G3473"/>
    </row>
    <row r="3474" spans="7:7" x14ac:dyDescent="0.3">
      <c r="G3474"/>
    </row>
    <row r="3475" spans="7:7" x14ac:dyDescent="0.3">
      <c r="G3475"/>
    </row>
    <row r="3476" spans="7:7" x14ac:dyDescent="0.3">
      <c r="G3476"/>
    </row>
    <row r="3477" spans="7:7" x14ac:dyDescent="0.3">
      <c r="G3477"/>
    </row>
    <row r="3478" spans="7:7" x14ac:dyDescent="0.3">
      <c r="G3478"/>
    </row>
    <row r="3479" spans="7:7" x14ac:dyDescent="0.3">
      <c r="G3479"/>
    </row>
    <row r="3480" spans="7:7" x14ac:dyDescent="0.3">
      <c r="G3480"/>
    </row>
    <row r="3481" spans="7:7" x14ac:dyDescent="0.3">
      <c r="G3481"/>
    </row>
    <row r="3482" spans="7:7" x14ac:dyDescent="0.3">
      <c r="G3482"/>
    </row>
    <row r="3483" spans="7:7" x14ac:dyDescent="0.3">
      <c r="G3483"/>
    </row>
    <row r="3484" spans="7:7" x14ac:dyDescent="0.3">
      <c r="G3484"/>
    </row>
    <row r="3485" spans="7:7" x14ac:dyDescent="0.3">
      <c r="G3485"/>
    </row>
    <row r="3486" spans="7:7" x14ac:dyDescent="0.3">
      <c r="G3486"/>
    </row>
    <row r="3487" spans="7:7" x14ac:dyDescent="0.3">
      <c r="G3487"/>
    </row>
    <row r="3488" spans="7:7" x14ac:dyDescent="0.3">
      <c r="G3488"/>
    </row>
    <row r="3489" spans="7:7" x14ac:dyDescent="0.3">
      <c r="G3489"/>
    </row>
    <row r="3490" spans="7:7" x14ac:dyDescent="0.3">
      <c r="G3490"/>
    </row>
    <row r="3491" spans="7:7" x14ac:dyDescent="0.3">
      <c r="G3491"/>
    </row>
    <row r="3492" spans="7:7" x14ac:dyDescent="0.3">
      <c r="G3492"/>
    </row>
    <row r="3493" spans="7:7" x14ac:dyDescent="0.3">
      <c r="G3493"/>
    </row>
    <row r="3494" spans="7:7" x14ac:dyDescent="0.3">
      <c r="G3494"/>
    </row>
    <row r="3495" spans="7:7" x14ac:dyDescent="0.3">
      <c r="G3495"/>
    </row>
    <row r="3496" spans="7:7" x14ac:dyDescent="0.3">
      <c r="G3496"/>
    </row>
    <row r="3497" spans="7:7" x14ac:dyDescent="0.3">
      <c r="G3497"/>
    </row>
    <row r="3498" spans="7:7" x14ac:dyDescent="0.3">
      <c r="G3498"/>
    </row>
    <row r="3499" spans="7:7" x14ac:dyDescent="0.3">
      <c r="G3499"/>
    </row>
    <row r="3500" spans="7:7" x14ac:dyDescent="0.3">
      <c r="G3500"/>
    </row>
    <row r="3501" spans="7:7" x14ac:dyDescent="0.3">
      <c r="G3501"/>
    </row>
    <row r="3502" spans="7:7" x14ac:dyDescent="0.3">
      <c r="G3502"/>
    </row>
    <row r="3503" spans="7:7" x14ac:dyDescent="0.3">
      <c r="G3503"/>
    </row>
    <row r="3504" spans="7:7" x14ac:dyDescent="0.3">
      <c r="G3504"/>
    </row>
    <row r="3505" spans="7:7" x14ac:dyDescent="0.3">
      <c r="G3505"/>
    </row>
    <row r="3506" spans="7:7" x14ac:dyDescent="0.3">
      <c r="G3506"/>
    </row>
    <row r="3507" spans="7:7" x14ac:dyDescent="0.3">
      <c r="G3507"/>
    </row>
    <row r="3508" spans="7:7" x14ac:dyDescent="0.3">
      <c r="G3508"/>
    </row>
    <row r="3509" spans="7:7" x14ac:dyDescent="0.3">
      <c r="G3509"/>
    </row>
    <row r="3510" spans="7:7" x14ac:dyDescent="0.3">
      <c r="G3510"/>
    </row>
    <row r="3511" spans="7:7" x14ac:dyDescent="0.3">
      <c r="G3511"/>
    </row>
    <row r="3512" spans="7:7" x14ac:dyDescent="0.3">
      <c r="G3512"/>
    </row>
    <row r="3513" spans="7:7" x14ac:dyDescent="0.3">
      <c r="G3513"/>
    </row>
    <row r="3514" spans="7:7" x14ac:dyDescent="0.3">
      <c r="G3514"/>
    </row>
    <row r="3515" spans="7:7" x14ac:dyDescent="0.3">
      <c r="G3515"/>
    </row>
    <row r="3516" spans="7:7" x14ac:dyDescent="0.3">
      <c r="G3516"/>
    </row>
    <row r="3517" spans="7:7" x14ac:dyDescent="0.3">
      <c r="G3517"/>
    </row>
    <row r="3518" spans="7:7" x14ac:dyDescent="0.3">
      <c r="G3518"/>
    </row>
    <row r="3519" spans="7:7" x14ac:dyDescent="0.3">
      <c r="G3519"/>
    </row>
    <row r="3520" spans="7:7" x14ac:dyDescent="0.3">
      <c r="G3520"/>
    </row>
    <row r="3521" spans="7:7" x14ac:dyDescent="0.3">
      <c r="G3521"/>
    </row>
    <row r="3522" spans="7:7" x14ac:dyDescent="0.3">
      <c r="G3522"/>
    </row>
    <row r="3523" spans="7:7" x14ac:dyDescent="0.3">
      <c r="G3523"/>
    </row>
    <row r="3524" spans="7:7" x14ac:dyDescent="0.3">
      <c r="G3524"/>
    </row>
    <row r="3525" spans="7:7" x14ac:dyDescent="0.3">
      <c r="G3525"/>
    </row>
    <row r="3526" spans="7:7" x14ac:dyDescent="0.3">
      <c r="G3526"/>
    </row>
    <row r="3527" spans="7:7" x14ac:dyDescent="0.3">
      <c r="G3527"/>
    </row>
    <row r="3528" spans="7:7" x14ac:dyDescent="0.3">
      <c r="G3528"/>
    </row>
    <row r="3529" spans="7:7" x14ac:dyDescent="0.3">
      <c r="G3529"/>
    </row>
    <row r="3530" spans="7:7" x14ac:dyDescent="0.3">
      <c r="G3530"/>
    </row>
    <row r="3531" spans="7:7" x14ac:dyDescent="0.3">
      <c r="G3531"/>
    </row>
    <row r="3532" spans="7:7" x14ac:dyDescent="0.3">
      <c r="G3532"/>
    </row>
    <row r="3533" spans="7:7" x14ac:dyDescent="0.3">
      <c r="G3533"/>
    </row>
    <row r="3534" spans="7:7" x14ac:dyDescent="0.3">
      <c r="G3534"/>
    </row>
    <row r="3535" spans="7:7" x14ac:dyDescent="0.3">
      <c r="G3535"/>
    </row>
    <row r="3536" spans="7:7" x14ac:dyDescent="0.3">
      <c r="G3536"/>
    </row>
    <row r="3537" spans="7:7" x14ac:dyDescent="0.3">
      <c r="G3537"/>
    </row>
    <row r="3538" spans="7:7" x14ac:dyDescent="0.3">
      <c r="G3538"/>
    </row>
    <row r="3539" spans="7:7" x14ac:dyDescent="0.3">
      <c r="G3539"/>
    </row>
    <row r="3540" spans="7:7" x14ac:dyDescent="0.3">
      <c r="G3540"/>
    </row>
    <row r="3541" spans="7:7" x14ac:dyDescent="0.3">
      <c r="G3541"/>
    </row>
    <row r="3542" spans="7:7" x14ac:dyDescent="0.3">
      <c r="G3542"/>
    </row>
    <row r="3543" spans="7:7" x14ac:dyDescent="0.3">
      <c r="G3543"/>
    </row>
    <row r="3544" spans="7:7" x14ac:dyDescent="0.3">
      <c r="G3544"/>
    </row>
    <row r="3545" spans="7:7" x14ac:dyDescent="0.3">
      <c r="G3545"/>
    </row>
    <row r="3546" spans="7:7" x14ac:dyDescent="0.3">
      <c r="G3546"/>
    </row>
    <row r="3547" spans="7:7" x14ac:dyDescent="0.3">
      <c r="G3547"/>
    </row>
    <row r="3548" spans="7:7" x14ac:dyDescent="0.3">
      <c r="G3548"/>
    </row>
    <row r="3549" spans="7:7" x14ac:dyDescent="0.3">
      <c r="G3549"/>
    </row>
    <row r="3550" spans="7:7" x14ac:dyDescent="0.3">
      <c r="G3550"/>
    </row>
    <row r="3551" spans="7:7" x14ac:dyDescent="0.3">
      <c r="G3551"/>
    </row>
    <row r="3552" spans="7:7" x14ac:dyDescent="0.3">
      <c r="G3552"/>
    </row>
    <row r="3553" spans="7:7" x14ac:dyDescent="0.3">
      <c r="G3553"/>
    </row>
    <row r="3554" spans="7:7" x14ac:dyDescent="0.3">
      <c r="G3554"/>
    </row>
    <row r="3555" spans="7:7" x14ac:dyDescent="0.3">
      <c r="G3555"/>
    </row>
    <row r="3556" spans="7:7" x14ac:dyDescent="0.3">
      <c r="G3556"/>
    </row>
    <row r="3557" spans="7:7" x14ac:dyDescent="0.3">
      <c r="G3557"/>
    </row>
    <row r="3558" spans="7:7" x14ac:dyDescent="0.3">
      <c r="G3558"/>
    </row>
    <row r="3559" spans="7:7" x14ac:dyDescent="0.3">
      <c r="G3559"/>
    </row>
    <row r="3560" spans="7:7" x14ac:dyDescent="0.3">
      <c r="G3560"/>
    </row>
    <row r="3561" spans="7:7" x14ac:dyDescent="0.3">
      <c r="G3561"/>
    </row>
    <row r="3562" spans="7:7" x14ac:dyDescent="0.3">
      <c r="G3562"/>
    </row>
    <row r="3563" spans="7:7" x14ac:dyDescent="0.3">
      <c r="G3563"/>
    </row>
    <row r="3564" spans="7:7" x14ac:dyDescent="0.3">
      <c r="G3564"/>
    </row>
    <row r="3565" spans="7:7" x14ac:dyDescent="0.3">
      <c r="G3565"/>
    </row>
    <row r="3566" spans="7:7" x14ac:dyDescent="0.3">
      <c r="G3566"/>
    </row>
    <row r="3567" spans="7:7" x14ac:dyDescent="0.3">
      <c r="G3567"/>
    </row>
    <row r="3568" spans="7:7" x14ac:dyDescent="0.3">
      <c r="G3568"/>
    </row>
    <row r="3569" spans="7:7" x14ac:dyDescent="0.3">
      <c r="G3569"/>
    </row>
    <row r="3570" spans="7:7" x14ac:dyDescent="0.3">
      <c r="G3570"/>
    </row>
    <row r="3571" spans="7:7" x14ac:dyDescent="0.3">
      <c r="G3571"/>
    </row>
    <row r="3572" spans="7:7" x14ac:dyDescent="0.3">
      <c r="G3572"/>
    </row>
    <row r="3573" spans="7:7" x14ac:dyDescent="0.3">
      <c r="G3573"/>
    </row>
    <row r="3574" spans="7:7" x14ac:dyDescent="0.3">
      <c r="G3574"/>
    </row>
    <row r="3575" spans="7:7" x14ac:dyDescent="0.3">
      <c r="G3575"/>
    </row>
    <row r="3576" spans="7:7" x14ac:dyDescent="0.3">
      <c r="G3576"/>
    </row>
    <row r="3577" spans="7:7" x14ac:dyDescent="0.3">
      <c r="G3577"/>
    </row>
    <row r="3578" spans="7:7" x14ac:dyDescent="0.3">
      <c r="G3578"/>
    </row>
    <row r="3579" spans="7:7" x14ac:dyDescent="0.3">
      <c r="G3579"/>
    </row>
    <row r="3580" spans="7:7" x14ac:dyDescent="0.3">
      <c r="G3580"/>
    </row>
    <row r="3581" spans="7:7" x14ac:dyDescent="0.3">
      <c r="G3581"/>
    </row>
    <row r="3582" spans="7:7" x14ac:dyDescent="0.3">
      <c r="G3582"/>
    </row>
    <row r="3583" spans="7:7" x14ac:dyDescent="0.3">
      <c r="G3583"/>
    </row>
    <row r="3584" spans="7:7" x14ac:dyDescent="0.3">
      <c r="G3584"/>
    </row>
    <row r="3585" spans="7:7" x14ac:dyDescent="0.3">
      <c r="G3585"/>
    </row>
    <row r="3586" spans="7:7" x14ac:dyDescent="0.3">
      <c r="G3586"/>
    </row>
    <row r="3587" spans="7:7" x14ac:dyDescent="0.3">
      <c r="G3587"/>
    </row>
    <row r="3588" spans="7:7" x14ac:dyDescent="0.3">
      <c r="G3588"/>
    </row>
    <row r="3589" spans="7:7" x14ac:dyDescent="0.3">
      <c r="G3589"/>
    </row>
    <row r="3590" spans="7:7" x14ac:dyDescent="0.3">
      <c r="G3590"/>
    </row>
    <row r="3591" spans="7:7" x14ac:dyDescent="0.3">
      <c r="G3591"/>
    </row>
    <row r="3592" spans="7:7" x14ac:dyDescent="0.3">
      <c r="G3592"/>
    </row>
    <row r="3593" spans="7:7" x14ac:dyDescent="0.3">
      <c r="G3593"/>
    </row>
    <row r="3594" spans="7:7" x14ac:dyDescent="0.3">
      <c r="G3594"/>
    </row>
    <row r="3595" spans="7:7" x14ac:dyDescent="0.3">
      <c r="G3595"/>
    </row>
    <row r="3596" spans="7:7" x14ac:dyDescent="0.3">
      <c r="G3596"/>
    </row>
    <row r="3597" spans="7:7" x14ac:dyDescent="0.3">
      <c r="G3597"/>
    </row>
    <row r="3598" spans="7:7" x14ac:dyDescent="0.3">
      <c r="G3598"/>
    </row>
    <row r="3599" spans="7:7" x14ac:dyDescent="0.3">
      <c r="G3599"/>
    </row>
    <row r="3600" spans="7:7" x14ac:dyDescent="0.3">
      <c r="G3600"/>
    </row>
    <row r="3601" spans="7:7" x14ac:dyDescent="0.3">
      <c r="G3601"/>
    </row>
    <row r="3602" spans="7:7" x14ac:dyDescent="0.3">
      <c r="G3602"/>
    </row>
    <row r="3603" spans="7:7" x14ac:dyDescent="0.3">
      <c r="G3603"/>
    </row>
    <row r="3604" spans="7:7" x14ac:dyDescent="0.3">
      <c r="G3604"/>
    </row>
    <row r="3605" spans="7:7" x14ac:dyDescent="0.3">
      <c r="G3605"/>
    </row>
    <row r="3606" spans="7:7" x14ac:dyDescent="0.3">
      <c r="G3606"/>
    </row>
    <row r="3607" spans="7:7" x14ac:dyDescent="0.3">
      <c r="G3607"/>
    </row>
    <row r="3608" spans="7:7" x14ac:dyDescent="0.3">
      <c r="G3608"/>
    </row>
    <row r="3609" spans="7:7" x14ac:dyDescent="0.3">
      <c r="G3609"/>
    </row>
    <row r="3610" spans="7:7" x14ac:dyDescent="0.3">
      <c r="G3610"/>
    </row>
    <row r="3611" spans="7:7" x14ac:dyDescent="0.3">
      <c r="G3611"/>
    </row>
    <row r="3612" spans="7:7" x14ac:dyDescent="0.3">
      <c r="G3612"/>
    </row>
    <row r="3613" spans="7:7" x14ac:dyDescent="0.3">
      <c r="G3613"/>
    </row>
    <row r="3614" spans="7:7" x14ac:dyDescent="0.3">
      <c r="G3614"/>
    </row>
    <row r="3615" spans="7:7" x14ac:dyDescent="0.3">
      <c r="G3615"/>
    </row>
    <row r="3616" spans="7:7" x14ac:dyDescent="0.3">
      <c r="G3616"/>
    </row>
    <row r="3617" spans="7:7" x14ac:dyDescent="0.3">
      <c r="G3617"/>
    </row>
    <row r="3618" spans="7:7" x14ac:dyDescent="0.3">
      <c r="G3618"/>
    </row>
    <row r="3619" spans="7:7" x14ac:dyDescent="0.3">
      <c r="G3619"/>
    </row>
    <row r="3620" spans="7:7" x14ac:dyDescent="0.3">
      <c r="G3620"/>
    </row>
    <row r="3621" spans="7:7" x14ac:dyDescent="0.3">
      <c r="G3621"/>
    </row>
    <row r="3622" spans="7:7" x14ac:dyDescent="0.3">
      <c r="G3622"/>
    </row>
    <row r="3623" spans="7:7" x14ac:dyDescent="0.3">
      <c r="G3623"/>
    </row>
    <row r="3624" spans="7:7" x14ac:dyDescent="0.3">
      <c r="G3624"/>
    </row>
    <row r="3625" spans="7:7" x14ac:dyDescent="0.3">
      <c r="G3625"/>
    </row>
    <row r="3626" spans="7:7" x14ac:dyDescent="0.3">
      <c r="G3626"/>
    </row>
    <row r="3627" spans="7:7" x14ac:dyDescent="0.3">
      <c r="G3627"/>
    </row>
    <row r="3628" spans="7:7" x14ac:dyDescent="0.3">
      <c r="G3628"/>
    </row>
    <row r="3629" spans="7:7" x14ac:dyDescent="0.3">
      <c r="G3629"/>
    </row>
    <row r="3630" spans="7:7" x14ac:dyDescent="0.3">
      <c r="G3630"/>
    </row>
    <row r="3631" spans="7:7" x14ac:dyDescent="0.3">
      <c r="G3631"/>
    </row>
    <row r="3632" spans="7:7" x14ac:dyDescent="0.3">
      <c r="G3632"/>
    </row>
    <row r="3633" spans="7:7" x14ac:dyDescent="0.3">
      <c r="G3633"/>
    </row>
    <row r="3634" spans="7:7" x14ac:dyDescent="0.3">
      <c r="G3634"/>
    </row>
    <row r="3635" spans="7:7" x14ac:dyDescent="0.3">
      <c r="G3635"/>
    </row>
    <row r="3636" spans="7:7" x14ac:dyDescent="0.3">
      <c r="G3636"/>
    </row>
    <row r="3637" spans="7:7" x14ac:dyDescent="0.3">
      <c r="G3637"/>
    </row>
    <row r="3638" spans="7:7" x14ac:dyDescent="0.3">
      <c r="G3638"/>
    </row>
    <row r="3639" spans="7:7" x14ac:dyDescent="0.3">
      <c r="G3639"/>
    </row>
    <row r="3640" spans="7:7" x14ac:dyDescent="0.3">
      <c r="G3640"/>
    </row>
    <row r="3641" spans="7:7" x14ac:dyDescent="0.3">
      <c r="G3641"/>
    </row>
    <row r="3642" spans="7:7" x14ac:dyDescent="0.3">
      <c r="G3642"/>
    </row>
    <row r="3643" spans="7:7" x14ac:dyDescent="0.3">
      <c r="G3643"/>
    </row>
    <row r="3644" spans="7:7" x14ac:dyDescent="0.3">
      <c r="G3644"/>
    </row>
    <row r="3645" spans="7:7" x14ac:dyDescent="0.3">
      <c r="G3645"/>
    </row>
    <row r="3646" spans="7:7" x14ac:dyDescent="0.3">
      <c r="G3646"/>
    </row>
    <row r="3647" spans="7:7" x14ac:dyDescent="0.3">
      <c r="G3647"/>
    </row>
    <row r="3648" spans="7:7" x14ac:dyDescent="0.3">
      <c r="G3648"/>
    </row>
    <row r="3649" spans="7:7" x14ac:dyDescent="0.3">
      <c r="G3649"/>
    </row>
    <row r="3650" spans="7:7" x14ac:dyDescent="0.3">
      <c r="G3650"/>
    </row>
    <row r="3651" spans="7:7" x14ac:dyDescent="0.3">
      <c r="G3651"/>
    </row>
    <row r="3652" spans="7:7" x14ac:dyDescent="0.3">
      <c r="G3652"/>
    </row>
    <row r="3653" spans="7:7" x14ac:dyDescent="0.3">
      <c r="G3653"/>
    </row>
    <row r="3654" spans="7:7" x14ac:dyDescent="0.3">
      <c r="G3654"/>
    </row>
    <row r="3655" spans="7:7" x14ac:dyDescent="0.3">
      <c r="G3655"/>
    </row>
    <row r="3656" spans="7:7" x14ac:dyDescent="0.3">
      <c r="G3656"/>
    </row>
    <row r="3657" spans="7:7" x14ac:dyDescent="0.3">
      <c r="G3657"/>
    </row>
    <row r="3658" spans="7:7" x14ac:dyDescent="0.3">
      <c r="G3658"/>
    </row>
    <row r="3659" spans="7:7" x14ac:dyDescent="0.3">
      <c r="G3659"/>
    </row>
    <row r="3660" spans="7:7" x14ac:dyDescent="0.3">
      <c r="G3660"/>
    </row>
    <row r="3661" spans="7:7" x14ac:dyDescent="0.3">
      <c r="G3661"/>
    </row>
    <row r="3662" spans="7:7" x14ac:dyDescent="0.3">
      <c r="G3662"/>
    </row>
    <row r="3663" spans="7:7" x14ac:dyDescent="0.3">
      <c r="G3663"/>
    </row>
    <row r="3664" spans="7:7" x14ac:dyDescent="0.3">
      <c r="G3664"/>
    </row>
    <row r="3665" spans="7:7" x14ac:dyDescent="0.3">
      <c r="G3665"/>
    </row>
    <row r="3666" spans="7:7" x14ac:dyDescent="0.3">
      <c r="G3666"/>
    </row>
    <row r="3667" spans="7:7" x14ac:dyDescent="0.3">
      <c r="G3667"/>
    </row>
    <row r="3668" spans="7:7" x14ac:dyDescent="0.3">
      <c r="G3668"/>
    </row>
    <row r="3669" spans="7:7" x14ac:dyDescent="0.3">
      <c r="G3669"/>
    </row>
    <row r="3670" spans="7:7" x14ac:dyDescent="0.3">
      <c r="G3670"/>
    </row>
    <row r="3671" spans="7:7" x14ac:dyDescent="0.3">
      <c r="G3671"/>
    </row>
    <row r="3672" spans="7:7" x14ac:dyDescent="0.3">
      <c r="G3672"/>
    </row>
    <row r="3673" spans="7:7" x14ac:dyDescent="0.3">
      <c r="G3673"/>
    </row>
    <row r="3674" spans="7:7" x14ac:dyDescent="0.3">
      <c r="G3674"/>
    </row>
    <row r="3675" spans="7:7" x14ac:dyDescent="0.3">
      <c r="G3675"/>
    </row>
    <row r="3676" spans="7:7" x14ac:dyDescent="0.3">
      <c r="G3676"/>
    </row>
    <row r="3677" spans="7:7" x14ac:dyDescent="0.3">
      <c r="G3677"/>
    </row>
    <row r="3678" spans="7:7" x14ac:dyDescent="0.3">
      <c r="G3678"/>
    </row>
    <row r="3679" spans="7:7" x14ac:dyDescent="0.3">
      <c r="G3679"/>
    </row>
    <row r="3680" spans="7:7" x14ac:dyDescent="0.3">
      <c r="G3680"/>
    </row>
    <row r="3681" spans="7:7" x14ac:dyDescent="0.3">
      <c r="G3681"/>
    </row>
    <row r="3682" spans="7:7" x14ac:dyDescent="0.3">
      <c r="G3682"/>
    </row>
    <row r="3683" spans="7:7" x14ac:dyDescent="0.3">
      <c r="G3683"/>
    </row>
    <row r="3684" spans="7:7" x14ac:dyDescent="0.3">
      <c r="G3684"/>
    </row>
    <row r="3685" spans="7:7" x14ac:dyDescent="0.3">
      <c r="G3685"/>
    </row>
    <row r="3686" spans="7:7" x14ac:dyDescent="0.3">
      <c r="G3686"/>
    </row>
    <row r="3687" spans="7:7" x14ac:dyDescent="0.3">
      <c r="G3687"/>
    </row>
    <row r="3688" spans="7:7" x14ac:dyDescent="0.3">
      <c r="G3688"/>
    </row>
    <row r="3689" spans="7:7" x14ac:dyDescent="0.3">
      <c r="G3689"/>
    </row>
    <row r="3690" spans="7:7" x14ac:dyDescent="0.3">
      <c r="G3690"/>
    </row>
    <row r="3691" spans="7:7" x14ac:dyDescent="0.3">
      <c r="G3691"/>
    </row>
    <row r="3692" spans="7:7" x14ac:dyDescent="0.3">
      <c r="G3692"/>
    </row>
    <row r="3693" spans="7:7" x14ac:dyDescent="0.3">
      <c r="G3693"/>
    </row>
    <row r="3694" spans="7:7" x14ac:dyDescent="0.3">
      <c r="G3694"/>
    </row>
    <row r="3695" spans="7:7" x14ac:dyDescent="0.3">
      <c r="G3695"/>
    </row>
    <row r="3696" spans="7:7" x14ac:dyDescent="0.3">
      <c r="G3696"/>
    </row>
    <row r="3697" spans="7:7" x14ac:dyDescent="0.3">
      <c r="G3697"/>
    </row>
    <row r="3698" spans="7:7" x14ac:dyDescent="0.3">
      <c r="G3698"/>
    </row>
    <row r="3699" spans="7:7" x14ac:dyDescent="0.3">
      <c r="G3699"/>
    </row>
    <row r="3700" spans="7:7" x14ac:dyDescent="0.3">
      <c r="G3700"/>
    </row>
    <row r="3701" spans="7:7" x14ac:dyDescent="0.3">
      <c r="G3701"/>
    </row>
    <row r="3702" spans="7:7" x14ac:dyDescent="0.3">
      <c r="G3702"/>
    </row>
    <row r="3703" spans="7:7" x14ac:dyDescent="0.3">
      <c r="G3703"/>
    </row>
    <row r="3704" spans="7:7" x14ac:dyDescent="0.3">
      <c r="G3704"/>
    </row>
    <row r="3705" spans="7:7" x14ac:dyDescent="0.3">
      <c r="G3705"/>
    </row>
    <row r="3706" spans="7:7" x14ac:dyDescent="0.3">
      <c r="G3706"/>
    </row>
    <row r="3707" spans="7:7" x14ac:dyDescent="0.3">
      <c r="G3707"/>
    </row>
    <row r="3708" spans="7:7" x14ac:dyDescent="0.3">
      <c r="G3708"/>
    </row>
    <row r="3709" spans="7:7" x14ac:dyDescent="0.3">
      <c r="G3709"/>
    </row>
    <row r="3710" spans="7:7" x14ac:dyDescent="0.3">
      <c r="G3710"/>
    </row>
    <row r="3711" spans="7:7" x14ac:dyDescent="0.3">
      <c r="G3711"/>
    </row>
    <row r="3712" spans="7:7" x14ac:dyDescent="0.3">
      <c r="G3712"/>
    </row>
    <row r="3713" spans="7:7" x14ac:dyDescent="0.3">
      <c r="G3713"/>
    </row>
    <row r="3714" spans="7:7" x14ac:dyDescent="0.3">
      <c r="G3714"/>
    </row>
    <row r="3715" spans="7:7" x14ac:dyDescent="0.3">
      <c r="G3715"/>
    </row>
    <row r="3716" spans="7:7" x14ac:dyDescent="0.3">
      <c r="G3716"/>
    </row>
    <row r="3717" spans="7:7" x14ac:dyDescent="0.3">
      <c r="G3717"/>
    </row>
    <row r="3718" spans="7:7" x14ac:dyDescent="0.3">
      <c r="G3718"/>
    </row>
    <row r="3719" spans="7:7" x14ac:dyDescent="0.3">
      <c r="G3719"/>
    </row>
    <row r="3720" spans="7:7" x14ac:dyDescent="0.3">
      <c r="G3720"/>
    </row>
    <row r="3721" spans="7:7" x14ac:dyDescent="0.3">
      <c r="G3721"/>
    </row>
    <row r="3722" spans="7:7" x14ac:dyDescent="0.3">
      <c r="G3722"/>
    </row>
    <row r="3723" spans="7:7" x14ac:dyDescent="0.3">
      <c r="G3723"/>
    </row>
    <row r="3724" spans="7:7" x14ac:dyDescent="0.3">
      <c r="G3724"/>
    </row>
    <row r="3725" spans="7:7" x14ac:dyDescent="0.3">
      <c r="G3725"/>
    </row>
    <row r="3726" spans="7:7" x14ac:dyDescent="0.3">
      <c r="G3726"/>
    </row>
    <row r="3727" spans="7:7" x14ac:dyDescent="0.3">
      <c r="G3727"/>
    </row>
    <row r="3728" spans="7:7" x14ac:dyDescent="0.3">
      <c r="G3728"/>
    </row>
    <row r="3729" spans="7:7" x14ac:dyDescent="0.3">
      <c r="G3729"/>
    </row>
    <row r="3730" spans="7:7" x14ac:dyDescent="0.3">
      <c r="G3730"/>
    </row>
    <row r="3731" spans="7:7" x14ac:dyDescent="0.3">
      <c r="G3731"/>
    </row>
    <row r="3732" spans="7:7" x14ac:dyDescent="0.3">
      <c r="G3732"/>
    </row>
    <row r="3733" spans="7:7" x14ac:dyDescent="0.3">
      <c r="G3733"/>
    </row>
    <row r="3734" spans="7:7" x14ac:dyDescent="0.3">
      <c r="G3734"/>
    </row>
    <row r="3735" spans="7:7" x14ac:dyDescent="0.3">
      <c r="G3735"/>
    </row>
    <row r="3736" spans="7:7" x14ac:dyDescent="0.3">
      <c r="G3736"/>
    </row>
    <row r="3737" spans="7:7" x14ac:dyDescent="0.3">
      <c r="G3737"/>
    </row>
    <row r="3738" spans="7:7" x14ac:dyDescent="0.3">
      <c r="G3738"/>
    </row>
    <row r="3739" spans="7:7" x14ac:dyDescent="0.3">
      <c r="G3739"/>
    </row>
    <row r="3740" spans="7:7" x14ac:dyDescent="0.3">
      <c r="G3740"/>
    </row>
    <row r="3741" spans="7:7" x14ac:dyDescent="0.3">
      <c r="G3741"/>
    </row>
    <row r="3742" spans="7:7" x14ac:dyDescent="0.3">
      <c r="G3742"/>
    </row>
    <row r="3743" spans="7:7" x14ac:dyDescent="0.3">
      <c r="G3743"/>
    </row>
    <row r="3744" spans="7:7" x14ac:dyDescent="0.3">
      <c r="G3744"/>
    </row>
    <row r="3745" spans="7:7" x14ac:dyDescent="0.3">
      <c r="G3745"/>
    </row>
    <row r="3746" spans="7:7" x14ac:dyDescent="0.3">
      <c r="G3746"/>
    </row>
    <row r="3747" spans="7:7" x14ac:dyDescent="0.3">
      <c r="G3747"/>
    </row>
    <row r="3748" spans="7:7" x14ac:dyDescent="0.3">
      <c r="G3748"/>
    </row>
    <row r="3749" spans="7:7" x14ac:dyDescent="0.3">
      <c r="G3749"/>
    </row>
    <row r="3750" spans="7:7" x14ac:dyDescent="0.3">
      <c r="G3750"/>
    </row>
    <row r="3751" spans="7:7" x14ac:dyDescent="0.3">
      <c r="G3751"/>
    </row>
    <row r="3752" spans="7:7" x14ac:dyDescent="0.3">
      <c r="G3752"/>
    </row>
    <row r="3753" spans="7:7" x14ac:dyDescent="0.3">
      <c r="G3753"/>
    </row>
    <row r="3754" spans="7:7" x14ac:dyDescent="0.3">
      <c r="G3754"/>
    </row>
    <row r="3755" spans="7:7" x14ac:dyDescent="0.3">
      <c r="G3755"/>
    </row>
    <row r="3756" spans="7:7" x14ac:dyDescent="0.3">
      <c r="G3756"/>
    </row>
    <row r="3757" spans="7:7" x14ac:dyDescent="0.3">
      <c r="G3757"/>
    </row>
    <row r="3758" spans="7:7" x14ac:dyDescent="0.3">
      <c r="G3758"/>
    </row>
    <row r="3759" spans="7:7" x14ac:dyDescent="0.3">
      <c r="G3759"/>
    </row>
    <row r="3760" spans="7:7" x14ac:dyDescent="0.3">
      <c r="G3760"/>
    </row>
    <row r="3761" spans="7:7" x14ac:dyDescent="0.3">
      <c r="G3761"/>
    </row>
    <row r="3762" spans="7:7" x14ac:dyDescent="0.3">
      <c r="G3762"/>
    </row>
    <row r="3763" spans="7:7" x14ac:dyDescent="0.3">
      <c r="G3763"/>
    </row>
    <row r="3764" spans="7:7" x14ac:dyDescent="0.3">
      <c r="G3764"/>
    </row>
    <row r="3765" spans="7:7" x14ac:dyDescent="0.3">
      <c r="G3765"/>
    </row>
    <row r="3766" spans="7:7" x14ac:dyDescent="0.3">
      <c r="G3766"/>
    </row>
    <row r="3767" spans="7:7" x14ac:dyDescent="0.3">
      <c r="G3767"/>
    </row>
    <row r="3768" spans="7:7" x14ac:dyDescent="0.3">
      <c r="G3768"/>
    </row>
    <row r="3769" spans="7:7" x14ac:dyDescent="0.3">
      <c r="G3769"/>
    </row>
    <row r="3770" spans="7:7" x14ac:dyDescent="0.3">
      <c r="G3770"/>
    </row>
    <row r="3771" spans="7:7" x14ac:dyDescent="0.3">
      <c r="G3771"/>
    </row>
    <row r="3772" spans="7:7" x14ac:dyDescent="0.3">
      <c r="G3772"/>
    </row>
    <row r="3773" spans="7:7" x14ac:dyDescent="0.3">
      <c r="G3773"/>
    </row>
    <row r="3774" spans="7:7" x14ac:dyDescent="0.3">
      <c r="G3774"/>
    </row>
    <row r="3775" spans="7:7" x14ac:dyDescent="0.3">
      <c r="G3775"/>
    </row>
    <row r="3776" spans="7:7" x14ac:dyDescent="0.3">
      <c r="G3776"/>
    </row>
    <row r="3777" spans="7:7" x14ac:dyDescent="0.3">
      <c r="G3777"/>
    </row>
    <row r="3778" spans="7:7" x14ac:dyDescent="0.3">
      <c r="G3778"/>
    </row>
    <row r="3779" spans="7:7" x14ac:dyDescent="0.3">
      <c r="G3779"/>
    </row>
    <row r="3780" spans="7:7" x14ac:dyDescent="0.3">
      <c r="G3780"/>
    </row>
    <row r="3781" spans="7:7" x14ac:dyDescent="0.3">
      <c r="G3781"/>
    </row>
    <row r="3782" spans="7:7" x14ac:dyDescent="0.3">
      <c r="G3782"/>
    </row>
    <row r="3783" spans="7:7" x14ac:dyDescent="0.3">
      <c r="G3783"/>
    </row>
    <row r="3784" spans="7:7" x14ac:dyDescent="0.3">
      <c r="G3784"/>
    </row>
    <row r="3785" spans="7:7" x14ac:dyDescent="0.3">
      <c r="G3785"/>
    </row>
    <row r="3786" spans="7:7" x14ac:dyDescent="0.3">
      <c r="G3786"/>
    </row>
    <row r="3787" spans="7:7" x14ac:dyDescent="0.3">
      <c r="G3787"/>
    </row>
    <row r="3788" spans="7:7" x14ac:dyDescent="0.3">
      <c r="G3788"/>
    </row>
    <row r="3789" spans="7:7" x14ac:dyDescent="0.3">
      <c r="G3789"/>
    </row>
    <row r="3790" spans="7:7" x14ac:dyDescent="0.3">
      <c r="G3790"/>
    </row>
    <row r="3791" spans="7:7" x14ac:dyDescent="0.3">
      <c r="G3791"/>
    </row>
    <row r="3792" spans="7:7" x14ac:dyDescent="0.3">
      <c r="G3792"/>
    </row>
    <row r="3793" spans="7:7" x14ac:dyDescent="0.3">
      <c r="G3793"/>
    </row>
    <row r="3794" spans="7:7" x14ac:dyDescent="0.3">
      <c r="G3794"/>
    </row>
    <row r="3795" spans="7:7" x14ac:dyDescent="0.3">
      <c r="G3795"/>
    </row>
    <row r="3796" spans="7:7" x14ac:dyDescent="0.3">
      <c r="G3796"/>
    </row>
    <row r="3797" spans="7:7" x14ac:dyDescent="0.3">
      <c r="G3797"/>
    </row>
    <row r="3798" spans="7:7" x14ac:dyDescent="0.3">
      <c r="G3798"/>
    </row>
    <row r="3799" spans="7:7" x14ac:dyDescent="0.3">
      <c r="G3799"/>
    </row>
    <row r="3800" spans="7:7" x14ac:dyDescent="0.3">
      <c r="G3800"/>
    </row>
    <row r="3801" spans="7:7" x14ac:dyDescent="0.3">
      <c r="G3801"/>
    </row>
    <row r="3802" spans="7:7" x14ac:dyDescent="0.3">
      <c r="G3802"/>
    </row>
    <row r="3803" spans="7:7" x14ac:dyDescent="0.3">
      <c r="G3803"/>
    </row>
    <row r="3804" spans="7:7" x14ac:dyDescent="0.3">
      <c r="G3804"/>
    </row>
    <row r="3805" spans="7:7" x14ac:dyDescent="0.3">
      <c r="G3805"/>
    </row>
    <row r="3806" spans="7:7" x14ac:dyDescent="0.3">
      <c r="G3806"/>
    </row>
    <row r="3807" spans="7:7" x14ac:dyDescent="0.3">
      <c r="G3807"/>
    </row>
    <row r="3808" spans="7:7" x14ac:dyDescent="0.3">
      <c r="G3808"/>
    </row>
    <row r="3809" spans="7:7" x14ac:dyDescent="0.3">
      <c r="G3809"/>
    </row>
    <row r="3810" spans="7:7" x14ac:dyDescent="0.3">
      <c r="G3810"/>
    </row>
    <row r="3811" spans="7:7" x14ac:dyDescent="0.3">
      <c r="G3811"/>
    </row>
    <row r="3812" spans="7:7" x14ac:dyDescent="0.3">
      <c r="G3812"/>
    </row>
    <row r="3813" spans="7:7" x14ac:dyDescent="0.3">
      <c r="G3813"/>
    </row>
    <row r="3814" spans="7:7" x14ac:dyDescent="0.3">
      <c r="G3814"/>
    </row>
    <row r="3815" spans="7:7" x14ac:dyDescent="0.3">
      <c r="G3815"/>
    </row>
    <row r="3816" spans="7:7" x14ac:dyDescent="0.3">
      <c r="G3816"/>
    </row>
    <row r="3817" spans="7:7" x14ac:dyDescent="0.3">
      <c r="G3817"/>
    </row>
    <row r="3818" spans="7:7" x14ac:dyDescent="0.3">
      <c r="G3818"/>
    </row>
    <row r="3819" spans="7:7" x14ac:dyDescent="0.3">
      <c r="G3819"/>
    </row>
    <row r="3820" spans="7:7" x14ac:dyDescent="0.3">
      <c r="G3820"/>
    </row>
    <row r="3821" spans="7:7" x14ac:dyDescent="0.3">
      <c r="G3821"/>
    </row>
    <row r="3822" spans="7:7" x14ac:dyDescent="0.3">
      <c r="G3822"/>
    </row>
    <row r="3823" spans="7:7" x14ac:dyDescent="0.3">
      <c r="G3823"/>
    </row>
    <row r="3824" spans="7:7" x14ac:dyDescent="0.3">
      <c r="G3824"/>
    </row>
    <row r="3825" spans="7:7" x14ac:dyDescent="0.3">
      <c r="G3825"/>
    </row>
    <row r="3826" spans="7:7" x14ac:dyDescent="0.3">
      <c r="G3826"/>
    </row>
    <row r="3827" spans="7:7" x14ac:dyDescent="0.3">
      <c r="G3827"/>
    </row>
    <row r="3828" spans="7:7" x14ac:dyDescent="0.3">
      <c r="G3828"/>
    </row>
    <row r="3829" spans="7:7" x14ac:dyDescent="0.3">
      <c r="G3829"/>
    </row>
    <row r="3830" spans="7:7" x14ac:dyDescent="0.3">
      <c r="G3830"/>
    </row>
    <row r="3831" spans="7:7" x14ac:dyDescent="0.3">
      <c r="G3831"/>
    </row>
    <row r="3832" spans="7:7" x14ac:dyDescent="0.3">
      <c r="G3832"/>
    </row>
    <row r="3833" spans="7:7" x14ac:dyDescent="0.3">
      <c r="G3833"/>
    </row>
    <row r="3834" spans="7:7" x14ac:dyDescent="0.3">
      <c r="G3834"/>
    </row>
    <row r="3835" spans="7:7" x14ac:dyDescent="0.3">
      <c r="G3835"/>
    </row>
    <row r="3836" spans="7:7" x14ac:dyDescent="0.3">
      <c r="G3836"/>
    </row>
    <row r="3837" spans="7:7" x14ac:dyDescent="0.3">
      <c r="G3837"/>
    </row>
    <row r="3838" spans="7:7" x14ac:dyDescent="0.3">
      <c r="G3838"/>
    </row>
    <row r="3839" spans="7:7" x14ac:dyDescent="0.3">
      <c r="G3839"/>
    </row>
    <row r="3840" spans="7:7" x14ac:dyDescent="0.3">
      <c r="G3840"/>
    </row>
    <row r="3841" spans="7:7" x14ac:dyDescent="0.3">
      <c r="G3841"/>
    </row>
    <row r="3842" spans="7:7" x14ac:dyDescent="0.3">
      <c r="G3842"/>
    </row>
    <row r="3843" spans="7:7" x14ac:dyDescent="0.3">
      <c r="G3843"/>
    </row>
    <row r="3844" spans="7:7" x14ac:dyDescent="0.3">
      <c r="G3844"/>
    </row>
    <row r="3845" spans="7:7" x14ac:dyDescent="0.3">
      <c r="G3845"/>
    </row>
    <row r="3846" spans="7:7" x14ac:dyDescent="0.3">
      <c r="G3846"/>
    </row>
    <row r="3847" spans="7:7" x14ac:dyDescent="0.3">
      <c r="G3847"/>
    </row>
    <row r="3848" spans="7:7" x14ac:dyDescent="0.3">
      <c r="G3848"/>
    </row>
    <row r="3849" spans="7:7" x14ac:dyDescent="0.3">
      <c r="G3849"/>
    </row>
    <row r="3850" spans="7:7" x14ac:dyDescent="0.3">
      <c r="G3850"/>
    </row>
    <row r="3851" spans="7:7" x14ac:dyDescent="0.3">
      <c r="G3851"/>
    </row>
    <row r="3852" spans="7:7" x14ac:dyDescent="0.3">
      <c r="G3852"/>
    </row>
    <row r="3853" spans="7:7" x14ac:dyDescent="0.3">
      <c r="G3853"/>
    </row>
    <row r="3854" spans="7:7" x14ac:dyDescent="0.3">
      <c r="G3854"/>
    </row>
    <row r="3855" spans="7:7" x14ac:dyDescent="0.3">
      <c r="G3855"/>
    </row>
    <row r="3856" spans="7:7" x14ac:dyDescent="0.3">
      <c r="G3856"/>
    </row>
    <row r="3857" spans="7:7" x14ac:dyDescent="0.3">
      <c r="G3857"/>
    </row>
    <row r="3858" spans="7:7" x14ac:dyDescent="0.3">
      <c r="G3858"/>
    </row>
    <row r="3859" spans="7:7" x14ac:dyDescent="0.3">
      <c r="G3859"/>
    </row>
    <row r="3860" spans="7:7" x14ac:dyDescent="0.3">
      <c r="G3860"/>
    </row>
    <row r="3861" spans="7:7" x14ac:dyDescent="0.3">
      <c r="G3861"/>
    </row>
    <row r="3862" spans="7:7" x14ac:dyDescent="0.3">
      <c r="G3862"/>
    </row>
    <row r="3863" spans="7:7" x14ac:dyDescent="0.3">
      <c r="G3863"/>
    </row>
    <row r="3864" spans="7:7" x14ac:dyDescent="0.3">
      <c r="G3864"/>
    </row>
    <row r="3865" spans="7:7" x14ac:dyDescent="0.3">
      <c r="G3865"/>
    </row>
    <row r="3866" spans="7:7" x14ac:dyDescent="0.3">
      <c r="G3866"/>
    </row>
    <row r="3867" spans="7:7" x14ac:dyDescent="0.3">
      <c r="G3867"/>
    </row>
    <row r="3868" spans="7:7" x14ac:dyDescent="0.3">
      <c r="G3868"/>
    </row>
    <row r="3869" spans="7:7" x14ac:dyDescent="0.3">
      <c r="G3869"/>
    </row>
    <row r="3870" spans="7:7" x14ac:dyDescent="0.3">
      <c r="G3870"/>
    </row>
    <row r="3871" spans="7:7" x14ac:dyDescent="0.3">
      <c r="G3871"/>
    </row>
    <row r="3872" spans="7:7" x14ac:dyDescent="0.3">
      <c r="G3872"/>
    </row>
    <row r="3873" spans="7:7" x14ac:dyDescent="0.3">
      <c r="G3873"/>
    </row>
    <row r="3874" spans="7:7" x14ac:dyDescent="0.3">
      <c r="G3874"/>
    </row>
    <row r="3875" spans="7:7" x14ac:dyDescent="0.3">
      <c r="G3875"/>
    </row>
    <row r="3876" spans="7:7" x14ac:dyDescent="0.3">
      <c r="G3876"/>
    </row>
    <row r="3877" spans="7:7" x14ac:dyDescent="0.3">
      <c r="G3877"/>
    </row>
    <row r="3878" spans="7:7" x14ac:dyDescent="0.3">
      <c r="G3878"/>
    </row>
    <row r="3879" spans="7:7" x14ac:dyDescent="0.3">
      <c r="G3879"/>
    </row>
    <row r="3880" spans="7:7" x14ac:dyDescent="0.3">
      <c r="G3880"/>
    </row>
    <row r="3881" spans="7:7" x14ac:dyDescent="0.3">
      <c r="G3881"/>
    </row>
    <row r="3882" spans="7:7" x14ac:dyDescent="0.3">
      <c r="G3882"/>
    </row>
    <row r="3883" spans="7:7" x14ac:dyDescent="0.3">
      <c r="G3883"/>
    </row>
    <row r="3884" spans="7:7" x14ac:dyDescent="0.3">
      <c r="G3884"/>
    </row>
    <row r="3885" spans="7:7" x14ac:dyDescent="0.3">
      <c r="G3885"/>
    </row>
    <row r="3886" spans="7:7" x14ac:dyDescent="0.3">
      <c r="G3886"/>
    </row>
    <row r="3887" spans="7:7" x14ac:dyDescent="0.3">
      <c r="G3887"/>
    </row>
    <row r="3888" spans="7:7" x14ac:dyDescent="0.3">
      <c r="G3888"/>
    </row>
    <row r="3889" spans="7:7" x14ac:dyDescent="0.3">
      <c r="G3889"/>
    </row>
    <row r="3890" spans="7:7" x14ac:dyDescent="0.3">
      <c r="G3890"/>
    </row>
    <row r="3891" spans="7:7" x14ac:dyDescent="0.3">
      <c r="G3891"/>
    </row>
    <row r="3892" spans="7:7" x14ac:dyDescent="0.3">
      <c r="G3892"/>
    </row>
    <row r="3893" spans="7:7" x14ac:dyDescent="0.3">
      <c r="G3893"/>
    </row>
    <row r="3894" spans="7:7" x14ac:dyDescent="0.3">
      <c r="G3894"/>
    </row>
    <row r="3895" spans="7:7" x14ac:dyDescent="0.3">
      <c r="G3895"/>
    </row>
    <row r="3896" spans="7:7" x14ac:dyDescent="0.3">
      <c r="G3896"/>
    </row>
    <row r="3897" spans="7:7" x14ac:dyDescent="0.3">
      <c r="G3897"/>
    </row>
    <row r="3898" spans="7:7" x14ac:dyDescent="0.3">
      <c r="G3898"/>
    </row>
    <row r="3899" spans="7:7" x14ac:dyDescent="0.3">
      <c r="G3899"/>
    </row>
    <row r="3900" spans="7:7" x14ac:dyDescent="0.3">
      <c r="G3900"/>
    </row>
    <row r="3901" spans="7:7" x14ac:dyDescent="0.3">
      <c r="G3901"/>
    </row>
    <row r="3902" spans="7:7" x14ac:dyDescent="0.3">
      <c r="G3902"/>
    </row>
    <row r="3903" spans="7:7" x14ac:dyDescent="0.3">
      <c r="G3903"/>
    </row>
    <row r="3904" spans="7:7" x14ac:dyDescent="0.3">
      <c r="G3904"/>
    </row>
    <row r="3905" spans="7:7" x14ac:dyDescent="0.3">
      <c r="G3905"/>
    </row>
    <row r="3906" spans="7:7" x14ac:dyDescent="0.3">
      <c r="G3906"/>
    </row>
    <row r="3907" spans="7:7" x14ac:dyDescent="0.3">
      <c r="G3907"/>
    </row>
    <row r="3908" spans="7:7" x14ac:dyDescent="0.3">
      <c r="G3908"/>
    </row>
    <row r="3909" spans="7:7" x14ac:dyDescent="0.3">
      <c r="G3909"/>
    </row>
    <row r="3910" spans="7:7" x14ac:dyDescent="0.3">
      <c r="G3910"/>
    </row>
    <row r="3911" spans="7:7" x14ac:dyDescent="0.3">
      <c r="G3911"/>
    </row>
    <row r="3912" spans="7:7" x14ac:dyDescent="0.3">
      <c r="G3912"/>
    </row>
    <row r="3913" spans="7:7" x14ac:dyDescent="0.3">
      <c r="G3913"/>
    </row>
    <row r="3914" spans="7:7" x14ac:dyDescent="0.3">
      <c r="G3914"/>
    </row>
    <row r="3915" spans="7:7" x14ac:dyDescent="0.3">
      <c r="G3915"/>
    </row>
    <row r="3916" spans="7:7" x14ac:dyDescent="0.3">
      <c r="G3916"/>
    </row>
    <row r="3917" spans="7:7" x14ac:dyDescent="0.3">
      <c r="G3917"/>
    </row>
    <row r="3918" spans="7:7" x14ac:dyDescent="0.3">
      <c r="G3918"/>
    </row>
    <row r="3919" spans="7:7" x14ac:dyDescent="0.3">
      <c r="G3919"/>
    </row>
    <row r="3920" spans="7:7" x14ac:dyDescent="0.3">
      <c r="G3920"/>
    </row>
    <row r="3921" spans="7:7" x14ac:dyDescent="0.3">
      <c r="G3921"/>
    </row>
    <row r="3922" spans="7:7" x14ac:dyDescent="0.3">
      <c r="G3922"/>
    </row>
    <row r="3923" spans="7:7" x14ac:dyDescent="0.3">
      <c r="G3923"/>
    </row>
    <row r="3924" spans="7:7" x14ac:dyDescent="0.3">
      <c r="G3924"/>
    </row>
    <row r="3925" spans="7:7" x14ac:dyDescent="0.3">
      <c r="G3925"/>
    </row>
    <row r="3926" spans="7:7" x14ac:dyDescent="0.3">
      <c r="G3926"/>
    </row>
    <row r="3927" spans="7:7" x14ac:dyDescent="0.3">
      <c r="G3927"/>
    </row>
    <row r="3928" spans="7:7" x14ac:dyDescent="0.3">
      <c r="G3928"/>
    </row>
    <row r="3929" spans="7:7" x14ac:dyDescent="0.3">
      <c r="G3929"/>
    </row>
    <row r="3930" spans="7:7" x14ac:dyDescent="0.3">
      <c r="G3930"/>
    </row>
    <row r="3931" spans="7:7" x14ac:dyDescent="0.3">
      <c r="G3931"/>
    </row>
    <row r="3932" spans="7:7" x14ac:dyDescent="0.3">
      <c r="G3932"/>
    </row>
    <row r="3933" spans="7:7" x14ac:dyDescent="0.3">
      <c r="G3933"/>
    </row>
    <row r="3934" spans="7:7" x14ac:dyDescent="0.3">
      <c r="G3934"/>
    </row>
    <row r="3935" spans="7:7" x14ac:dyDescent="0.3">
      <c r="G3935"/>
    </row>
    <row r="3936" spans="7:7" x14ac:dyDescent="0.3">
      <c r="G3936"/>
    </row>
    <row r="3937" spans="7:7" x14ac:dyDescent="0.3">
      <c r="G3937"/>
    </row>
    <row r="3938" spans="7:7" x14ac:dyDescent="0.3">
      <c r="G3938"/>
    </row>
    <row r="3939" spans="7:7" x14ac:dyDescent="0.3">
      <c r="G3939"/>
    </row>
    <row r="3940" spans="7:7" x14ac:dyDescent="0.3">
      <c r="G3940"/>
    </row>
    <row r="3941" spans="7:7" x14ac:dyDescent="0.3">
      <c r="G3941"/>
    </row>
    <row r="3942" spans="7:7" x14ac:dyDescent="0.3">
      <c r="G3942"/>
    </row>
    <row r="3943" spans="7:7" x14ac:dyDescent="0.3">
      <c r="G3943"/>
    </row>
    <row r="3944" spans="7:7" x14ac:dyDescent="0.3">
      <c r="G3944"/>
    </row>
    <row r="3945" spans="7:7" x14ac:dyDescent="0.3">
      <c r="G3945"/>
    </row>
    <row r="3946" spans="7:7" x14ac:dyDescent="0.3">
      <c r="G3946"/>
    </row>
    <row r="3947" spans="7:7" x14ac:dyDescent="0.3">
      <c r="G3947"/>
    </row>
    <row r="3948" spans="7:7" x14ac:dyDescent="0.3">
      <c r="G3948"/>
    </row>
    <row r="3949" spans="7:7" x14ac:dyDescent="0.3">
      <c r="G3949"/>
    </row>
    <row r="3950" spans="7:7" x14ac:dyDescent="0.3">
      <c r="G3950"/>
    </row>
    <row r="3951" spans="7:7" x14ac:dyDescent="0.3">
      <c r="G3951"/>
    </row>
    <row r="3952" spans="7:7" x14ac:dyDescent="0.3">
      <c r="G3952"/>
    </row>
    <row r="3953" spans="7:7" x14ac:dyDescent="0.3">
      <c r="G3953"/>
    </row>
    <row r="3954" spans="7:7" x14ac:dyDescent="0.3">
      <c r="G3954"/>
    </row>
    <row r="3955" spans="7:7" x14ac:dyDescent="0.3">
      <c r="G3955"/>
    </row>
    <row r="3956" spans="7:7" x14ac:dyDescent="0.3">
      <c r="G3956"/>
    </row>
    <row r="3957" spans="7:7" x14ac:dyDescent="0.3">
      <c r="G3957"/>
    </row>
    <row r="3958" spans="7:7" x14ac:dyDescent="0.3">
      <c r="G3958"/>
    </row>
    <row r="3959" spans="7:7" x14ac:dyDescent="0.3">
      <c r="G3959"/>
    </row>
    <row r="3960" spans="7:7" x14ac:dyDescent="0.3">
      <c r="G3960"/>
    </row>
    <row r="3961" spans="7:7" x14ac:dyDescent="0.3">
      <c r="G3961"/>
    </row>
    <row r="3962" spans="7:7" x14ac:dyDescent="0.3">
      <c r="G3962"/>
    </row>
    <row r="3963" spans="7:7" x14ac:dyDescent="0.3">
      <c r="G3963"/>
    </row>
    <row r="3964" spans="7:7" x14ac:dyDescent="0.3">
      <c r="G3964"/>
    </row>
    <row r="3965" spans="7:7" x14ac:dyDescent="0.3">
      <c r="G3965"/>
    </row>
    <row r="3966" spans="7:7" x14ac:dyDescent="0.3">
      <c r="G3966"/>
    </row>
    <row r="3967" spans="7:7" x14ac:dyDescent="0.3">
      <c r="G3967"/>
    </row>
    <row r="3968" spans="7:7" x14ac:dyDescent="0.3">
      <c r="G3968"/>
    </row>
    <row r="3969" spans="7:7" x14ac:dyDescent="0.3">
      <c r="G3969"/>
    </row>
    <row r="3970" spans="7:7" x14ac:dyDescent="0.3">
      <c r="G3970"/>
    </row>
    <row r="3971" spans="7:7" x14ac:dyDescent="0.3">
      <c r="G3971"/>
    </row>
    <row r="3972" spans="7:7" x14ac:dyDescent="0.3">
      <c r="G3972"/>
    </row>
    <row r="3973" spans="7:7" x14ac:dyDescent="0.3">
      <c r="G3973"/>
    </row>
    <row r="3974" spans="7:7" x14ac:dyDescent="0.3">
      <c r="G3974"/>
    </row>
    <row r="3975" spans="7:7" x14ac:dyDescent="0.3">
      <c r="G3975"/>
    </row>
    <row r="3976" spans="7:7" x14ac:dyDescent="0.3">
      <c r="G3976"/>
    </row>
    <row r="3977" spans="7:7" x14ac:dyDescent="0.3">
      <c r="G3977"/>
    </row>
    <row r="3978" spans="7:7" x14ac:dyDescent="0.3">
      <c r="G3978"/>
    </row>
    <row r="3979" spans="7:7" x14ac:dyDescent="0.3">
      <c r="G3979"/>
    </row>
    <row r="3980" spans="7:7" x14ac:dyDescent="0.3">
      <c r="G3980"/>
    </row>
    <row r="3981" spans="7:7" x14ac:dyDescent="0.3">
      <c r="G3981"/>
    </row>
    <row r="3982" spans="7:7" x14ac:dyDescent="0.3">
      <c r="G3982"/>
    </row>
    <row r="3983" spans="7:7" x14ac:dyDescent="0.3">
      <c r="G3983"/>
    </row>
    <row r="3984" spans="7:7" x14ac:dyDescent="0.3">
      <c r="G3984"/>
    </row>
    <row r="3985" spans="7:7" x14ac:dyDescent="0.3">
      <c r="G3985"/>
    </row>
    <row r="3986" spans="7:7" x14ac:dyDescent="0.3">
      <c r="G3986"/>
    </row>
    <row r="3987" spans="7:7" x14ac:dyDescent="0.3">
      <c r="G3987"/>
    </row>
    <row r="3988" spans="7:7" x14ac:dyDescent="0.3">
      <c r="G3988"/>
    </row>
    <row r="3989" spans="7:7" x14ac:dyDescent="0.3">
      <c r="G3989"/>
    </row>
    <row r="3990" spans="7:7" x14ac:dyDescent="0.3">
      <c r="G3990"/>
    </row>
    <row r="3991" spans="7:7" x14ac:dyDescent="0.3">
      <c r="G3991"/>
    </row>
    <row r="3992" spans="7:7" x14ac:dyDescent="0.3">
      <c r="G3992"/>
    </row>
    <row r="3993" spans="7:7" x14ac:dyDescent="0.3">
      <c r="G3993"/>
    </row>
    <row r="3994" spans="7:7" x14ac:dyDescent="0.3">
      <c r="G3994"/>
    </row>
    <row r="3995" spans="7:7" x14ac:dyDescent="0.3">
      <c r="G3995"/>
    </row>
    <row r="3996" spans="7:7" x14ac:dyDescent="0.3">
      <c r="G3996"/>
    </row>
    <row r="3997" spans="7:7" x14ac:dyDescent="0.3">
      <c r="G3997"/>
    </row>
    <row r="3998" spans="7:7" x14ac:dyDescent="0.3">
      <c r="G3998"/>
    </row>
    <row r="3999" spans="7:7" x14ac:dyDescent="0.3">
      <c r="G3999"/>
    </row>
    <row r="4000" spans="7:7" x14ac:dyDescent="0.3">
      <c r="G4000"/>
    </row>
    <row r="4001" spans="7:7" x14ac:dyDescent="0.3">
      <c r="G4001"/>
    </row>
    <row r="4002" spans="7:7" x14ac:dyDescent="0.3">
      <c r="G4002"/>
    </row>
    <row r="4003" spans="7:7" x14ac:dyDescent="0.3">
      <c r="G4003"/>
    </row>
    <row r="4004" spans="7:7" x14ac:dyDescent="0.3">
      <c r="G4004"/>
    </row>
    <row r="4005" spans="7:7" x14ac:dyDescent="0.3">
      <c r="G4005"/>
    </row>
    <row r="4006" spans="7:7" x14ac:dyDescent="0.3">
      <c r="G4006"/>
    </row>
    <row r="4007" spans="7:7" x14ac:dyDescent="0.3">
      <c r="G4007"/>
    </row>
    <row r="4008" spans="7:7" x14ac:dyDescent="0.3">
      <c r="G4008"/>
    </row>
    <row r="4009" spans="7:7" x14ac:dyDescent="0.3">
      <c r="G4009"/>
    </row>
    <row r="4010" spans="7:7" x14ac:dyDescent="0.3">
      <c r="G4010"/>
    </row>
    <row r="4011" spans="7:7" x14ac:dyDescent="0.3">
      <c r="G4011"/>
    </row>
    <row r="4012" spans="7:7" x14ac:dyDescent="0.3">
      <c r="G4012"/>
    </row>
    <row r="4013" spans="7:7" x14ac:dyDescent="0.3">
      <c r="G4013"/>
    </row>
    <row r="4014" spans="7:7" x14ac:dyDescent="0.3">
      <c r="G4014"/>
    </row>
    <row r="4015" spans="7:7" x14ac:dyDescent="0.3">
      <c r="G4015"/>
    </row>
    <row r="4016" spans="7:7" x14ac:dyDescent="0.3">
      <c r="G4016"/>
    </row>
    <row r="4017" spans="7:7" x14ac:dyDescent="0.3">
      <c r="G4017"/>
    </row>
    <row r="4018" spans="7:7" x14ac:dyDescent="0.3">
      <c r="G4018"/>
    </row>
    <row r="4019" spans="7:7" x14ac:dyDescent="0.3">
      <c r="G4019"/>
    </row>
    <row r="4020" spans="7:7" x14ac:dyDescent="0.3">
      <c r="G4020"/>
    </row>
    <row r="4021" spans="7:7" x14ac:dyDescent="0.3">
      <c r="G4021"/>
    </row>
    <row r="4022" spans="7:7" x14ac:dyDescent="0.3">
      <c r="G4022"/>
    </row>
    <row r="4023" spans="7:7" x14ac:dyDescent="0.3">
      <c r="G4023"/>
    </row>
    <row r="4024" spans="7:7" x14ac:dyDescent="0.3">
      <c r="G4024"/>
    </row>
    <row r="4025" spans="7:7" x14ac:dyDescent="0.3">
      <c r="G4025"/>
    </row>
    <row r="4026" spans="7:7" x14ac:dyDescent="0.3">
      <c r="G4026"/>
    </row>
    <row r="4027" spans="7:7" x14ac:dyDescent="0.3">
      <c r="G4027"/>
    </row>
    <row r="4028" spans="7:7" x14ac:dyDescent="0.3">
      <c r="G4028"/>
    </row>
    <row r="4029" spans="7:7" x14ac:dyDescent="0.3">
      <c r="G4029"/>
    </row>
    <row r="4030" spans="7:7" x14ac:dyDescent="0.3">
      <c r="G4030"/>
    </row>
    <row r="4031" spans="7:7" x14ac:dyDescent="0.3">
      <c r="G4031"/>
    </row>
    <row r="4032" spans="7:7" x14ac:dyDescent="0.3">
      <c r="G4032"/>
    </row>
    <row r="4033" spans="7:7" x14ac:dyDescent="0.3">
      <c r="G4033"/>
    </row>
    <row r="4034" spans="7:7" x14ac:dyDescent="0.3">
      <c r="G4034"/>
    </row>
    <row r="4035" spans="7:7" x14ac:dyDescent="0.3">
      <c r="G4035"/>
    </row>
    <row r="4036" spans="7:7" x14ac:dyDescent="0.3">
      <c r="G4036"/>
    </row>
    <row r="4037" spans="7:7" x14ac:dyDescent="0.3">
      <c r="G4037"/>
    </row>
    <row r="4038" spans="7:7" x14ac:dyDescent="0.3">
      <c r="G4038"/>
    </row>
    <row r="4039" spans="7:7" x14ac:dyDescent="0.3">
      <c r="G4039"/>
    </row>
    <row r="4040" spans="7:7" x14ac:dyDescent="0.3">
      <c r="G4040"/>
    </row>
    <row r="4041" spans="7:7" x14ac:dyDescent="0.3">
      <c r="G4041"/>
    </row>
    <row r="4042" spans="7:7" x14ac:dyDescent="0.3">
      <c r="G4042"/>
    </row>
    <row r="4043" spans="7:7" x14ac:dyDescent="0.3">
      <c r="G4043"/>
    </row>
    <row r="4044" spans="7:7" x14ac:dyDescent="0.3">
      <c r="G4044"/>
    </row>
    <row r="4045" spans="7:7" x14ac:dyDescent="0.3">
      <c r="G4045"/>
    </row>
    <row r="4046" spans="7:7" x14ac:dyDescent="0.3">
      <c r="G4046"/>
    </row>
    <row r="4047" spans="7:7" x14ac:dyDescent="0.3">
      <c r="G4047"/>
    </row>
    <row r="4048" spans="7:7" x14ac:dyDescent="0.3">
      <c r="G4048"/>
    </row>
    <row r="4049" spans="7:7" x14ac:dyDescent="0.3">
      <c r="G4049"/>
    </row>
    <row r="4050" spans="7:7" x14ac:dyDescent="0.3">
      <c r="G4050"/>
    </row>
    <row r="4051" spans="7:7" x14ac:dyDescent="0.3">
      <c r="G4051"/>
    </row>
    <row r="4052" spans="7:7" x14ac:dyDescent="0.3">
      <c r="G4052"/>
    </row>
    <row r="4053" spans="7:7" x14ac:dyDescent="0.3">
      <c r="G4053"/>
    </row>
    <row r="4054" spans="7:7" x14ac:dyDescent="0.3">
      <c r="G4054"/>
    </row>
    <row r="4055" spans="7:7" x14ac:dyDescent="0.3">
      <c r="G4055"/>
    </row>
    <row r="4056" spans="7:7" x14ac:dyDescent="0.3">
      <c r="G4056"/>
    </row>
    <row r="4057" spans="7:7" x14ac:dyDescent="0.3">
      <c r="G4057"/>
    </row>
    <row r="4058" spans="7:7" x14ac:dyDescent="0.3">
      <c r="G4058"/>
    </row>
    <row r="4059" spans="7:7" x14ac:dyDescent="0.3">
      <c r="G4059"/>
    </row>
    <row r="4060" spans="7:7" x14ac:dyDescent="0.3">
      <c r="G4060"/>
    </row>
    <row r="4061" spans="7:7" x14ac:dyDescent="0.3">
      <c r="G4061"/>
    </row>
    <row r="4062" spans="7:7" x14ac:dyDescent="0.3">
      <c r="G4062"/>
    </row>
    <row r="4063" spans="7:7" x14ac:dyDescent="0.3">
      <c r="G4063"/>
    </row>
    <row r="4064" spans="7:7" x14ac:dyDescent="0.3">
      <c r="G4064"/>
    </row>
    <row r="4065" spans="7:7" x14ac:dyDescent="0.3">
      <c r="G4065"/>
    </row>
    <row r="4066" spans="7:7" x14ac:dyDescent="0.3">
      <c r="G4066"/>
    </row>
    <row r="4067" spans="7:7" x14ac:dyDescent="0.3">
      <c r="G4067"/>
    </row>
    <row r="4068" spans="7:7" x14ac:dyDescent="0.3">
      <c r="G4068"/>
    </row>
    <row r="4069" spans="7:7" x14ac:dyDescent="0.3">
      <c r="G4069"/>
    </row>
    <row r="4070" spans="7:7" x14ac:dyDescent="0.3">
      <c r="G4070"/>
    </row>
    <row r="4071" spans="7:7" x14ac:dyDescent="0.3">
      <c r="G4071"/>
    </row>
    <row r="4072" spans="7:7" x14ac:dyDescent="0.3">
      <c r="G4072"/>
    </row>
    <row r="4073" spans="7:7" x14ac:dyDescent="0.3">
      <c r="G4073"/>
    </row>
    <row r="4074" spans="7:7" x14ac:dyDescent="0.3">
      <c r="G4074"/>
    </row>
    <row r="4075" spans="7:7" x14ac:dyDescent="0.3">
      <c r="G4075"/>
    </row>
    <row r="4076" spans="7:7" x14ac:dyDescent="0.3">
      <c r="G4076"/>
    </row>
    <row r="4077" spans="7:7" x14ac:dyDescent="0.3">
      <c r="G4077"/>
    </row>
    <row r="4078" spans="7:7" x14ac:dyDescent="0.3">
      <c r="G4078"/>
    </row>
    <row r="4079" spans="7:7" x14ac:dyDescent="0.3">
      <c r="G4079"/>
    </row>
    <row r="4080" spans="7:7" x14ac:dyDescent="0.3">
      <c r="G4080"/>
    </row>
    <row r="4081" spans="7:7" x14ac:dyDescent="0.3">
      <c r="G4081"/>
    </row>
    <row r="4082" spans="7:7" x14ac:dyDescent="0.3">
      <c r="G4082"/>
    </row>
    <row r="4083" spans="7:7" x14ac:dyDescent="0.3">
      <c r="G4083"/>
    </row>
    <row r="4084" spans="7:7" x14ac:dyDescent="0.3">
      <c r="G4084"/>
    </row>
    <row r="4085" spans="7:7" x14ac:dyDescent="0.3">
      <c r="G4085"/>
    </row>
    <row r="4086" spans="7:7" x14ac:dyDescent="0.3">
      <c r="G4086"/>
    </row>
    <row r="4087" spans="7:7" x14ac:dyDescent="0.3">
      <c r="G4087"/>
    </row>
    <row r="4088" spans="7:7" x14ac:dyDescent="0.3">
      <c r="G4088"/>
    </row>
    <row r="4089" spans="7:7" x14ac:dyDescent="0.3">
      <c r="G4089"/>
    </row>
    <row r="4090" spans="7:7" x14ac:dyDescent="0.3">
      <c r="G4090"/>
    </row>
    <row r="4091" spans="7:7" x14ac:dyDescent="0.3">
      <c r="G4091"/>
    </row>
    <row r="4092" spans="7:7" x14ac:dyDescent="0.3">
      <c r="G4092"/>
    </row>
    <row r="4093" spans="7:7" x14ac:dyDescent="0.3">
      <c r="G4093"/>
    </row>
    <row r="4094" spans="7:7" x14ac:dyDescent="0.3">
      <c r="G4094"/>
    </row>
    <row r="4095" spans="7:7" x14ac:dyDescent="0.3">
      <c r="G4095"/>
    </row>
    <row r="4096" spans="7:7" x14ac:dyDescent="0.3">
      <c r="G4096"/>
    </row>
    <row r="4097" spans="7:7" x14ac:dyDescent="0.3">
      <c r="G4097"/>
    </row>
    <row r="4098" spans="7:7" x14ac:dyDescent="0.3">
      <c r="G4098"/>
    </row>
    <row r="4099" spans="7:7" x14ac:dyDescent="0.3">
      <c r="G4099"/>
    </row>
    <row r="4100" spans="7:7" x14ac:dyDescent="0.3">
      <c r="G4100"/>
    </row>
    <row r="4101" spans="7:7" x14ac:dyDescent="0.3">
      <c r="G4101"/>
    </row>
    <row r="4102" spans="7:7" x14ac:dyDescent="0.3">
      <c r="G4102"/>
    </row>
    <row r="4103" spans="7:7" x14ac:dyDescent="0.3">
      <c r="G4103"/>
    </row>
    <row r="4104" spans="7:7" x14ac:dyDescent="0.3">
      <c r="G4104"/>
    </row>
    <row r="4105" spans="7:7" x14ac:dyDescent="0.3">
      <c r="G4105"/>
    </row>
    <row r="4106" spans="7:7" x14ac:dyDescent="0.3">
      <c r="G4106"/>
    </row>
    <row r="4107" spans="7:7" x14ac:dyDescent="0.3">
      <c r="G4107"/>
    </row>
    <row r="4108" spans="7:7" x14ac:dyDescent="0.3">
      <c r="G4108"/>
    </row>
    <row r="4109" spans="7:7" x14ac:dyDescent="0.3">
      <c r="G4109"/>
    </row>
    <row r="4110" spans="7:7" x14ac:dyDescent="0.3">
      <c r="G4110"/>
    </row>
    <row r="4111" spans="7:7" x14ac:dyDescent="0.3">
      <c r="G4111"/>
    </row>
    <row r="4112" spans="7:7" x14ac:dyDescent="0.3">
      <c r="G4112"/>
    </row>
    <row r="4113" spans="7:7" x14ac:dyDescent="0.3">
      <c r="G4113"/>
    </row>
    <row r="4114" spans="7:7" x14ac:dyDescent="0.3">
      <c r="G4114"/>
    </row>
    <row r="4115" spans="7:7" x14ac:dyDescent="0.3">
      <c r="G4115"/>
    </row>
    <row r="4116" spans="7:7" x14ac:dyDescent="0.3">
      <c r="G4116"/>
    </row>
    <row r="4117" spans="7:7" x14ac:dyDescent="0.3">
      <c r="G4117"/>
    </row>
    <row r="4118" spans="7:7" x14ac:dyDescent="0.3">
      <c r="G4118"/>
    </row>
    <row r="4119" spans="7:7" x14ac:dyDescent="0.3">
      <c r="G4119"/>
    </row>
    <row r="4120" spans="7:7" x14ac:dyDescent="0.3">
      <c r="G4120"/>
    </row>
    <row r="4121" spans="7:7" x14ac:dyDescent="0.3">
      <c r="G4121"/>
    </row>
    <row r="4122" spans="7:7" x14ac:dyDescent="0.3">
      <c r="G4122"/>
    </row>
    <row r="4123" spans="7:7" x14ac:dyDescent="0.3">
      <c r="G4123"/>
    </row>
    <row r="4124" spans="7:7" x14ac:dyDescent="0.3">
      <c r="G4124"/>
    </row>
    <row r="4125" spans="7:7" x14ac:dyDescent="0.3">
      <c r="G4125"/>
    </row>
    <row r="4126" spans="7:7" x14ac:dyDescent="0.3">
      <c r="G4126"/>
    </row>
    <row r="4127" spans="7:7" x14ac:dyDescent="0.3">
      <c r="G4127"/>
    </row>
    <row r="4128" spans="7:7" x14ac:dyDescent="0.3">
      <c r="G4128"/>
    </row>
    <row r="4129" spans="7:7" x14ac:dyDescent="0.3">
      <c r="G4129"/>
    </row>
    <row r="4130" spans="7:7" x14ac:dyDescent="0.3">
      <c r="G4130"/>
    </row>
    <row r="4131" spans="7:7" x14ac:dyDescent="0.3">
      <c r="G4131"/>
    </row>
    <row r="4132" spans="7:7" x14ac:dyDescent="0.3">
      <c r="G4132"/>
    </row>
    <row r="4133" spans="7:7" x14ac:dyDescent="0.3">
      <c r="G4133"/>
    </row>
    <row r="4134" spans="7:7" x14ac:dyDescent="0.3">
      <c r="G4134"/>
    </row>
    <row r="4135" spans="7:7" x14ac:dyDescent="0.3">
      <c r="G4135"/>
    </row>
    <row r="4136" spans="7:7" x14ac:dyDescent="0.3">
      <c r="G4136"/>
    </row>
    <row r="4137" spans="7:7" x14ac:dyDescent="0.3">
      <c r="G4137"/>
    </row>
    <row r="4138" spans="7:7" x14ac:dyDescent="0.3">
      <c r="G4138"/>
    </row>
    <row r="4139" spans="7:7" x14ac:dyDescent="0.3">
      <c r="G4139"/>
    </row>
    <row r="4140" spans="7:7" x14ac:dyDescent="0.3">
      <c r="G4140"/>
    </row>
    <row r="4141" spans="7:7" x14ac:dyDescent="0.3">
      <c r="G4141"/>
    </row>
    <row r="4142" spans="7:7" x14ac:dyDescent="0.3">
      <c r="G4142"/>
    </row>
    <row r="4143" spans="7:7" x14ac:dyDescent="0.3">
      <c r="G4143"/>
    </row>
    <row r="4144" spans="7:7" x14ac:dyDescent="0.3">
      <c r="G4144"/>
    </row>
    <row r="4145" spans="7:7" x14ac:dyDescent="0.3">
      <c r="G4145"/>
    </row>
    <row r="4146" spans="7:7" x14ac:dyDescent="0.3">
      <c r="G4146"/>
    </row>
    <row r="4147" spans="7:7" x14ac:dyDescent="0.3">
      <c r="G4147"/>
    </row>
    <row r="4148" spans="7:7" x14ac:dyDescent="0.3">
      <c r="G4148"/>
    </row>
    <row r="4149" spans="7:7" x14ac:dyDescent="0.3">
      <c r="G4149"/>
    </row>
    <row r="4150" spans="7:7" x14ac:dyDescent="0.3">
      <c r="G4150"/>
    </row>
    <row r="4151" spans="7:7" x14ac:dyDescent="0.3">
      <c r="G4151"/>
    </row>
    <row r="4152" spans="7:7" x14ac:dyDescent="0.3">
      <c r="G4152"/>
    </row>
    <row r="4153" spans="7:7" x14ac:dyDescent="0.3">
      <c r="G4153"/>
    </row>
    <row r="4154" spans="7:7" x14ac:dyDescent="0.3">
      <c r="G4154"/>
    </row>
    <row r="4155" spans="7:7" x14ac:dyDescent="0.3">
      <c r="G4155"/>
    </row>
    <row r="4156" spans="7:7" x14ac:dyDescent="0.3">
      <c r="G4156"/>
    </row>
    <row r="4157" spans="7:7" x14ac:dyDescent="0.3">
      <c r="G4157"/>
    </row>
    <row r="4158" spans="7:7" x14ac:dyDescent="0.3">
      <c r="G4158"/>
    </row>
    <row r="4159" spans="7:7" x14ac:dyDescent="0.3">
      <c r="G4159"/>
    </row>
    <row r="4160" spans="7:7" x14ac:dyDescent="0.3">
      <c r="G4160"/>
    </row>
    <row r="4161" spans="7:7" x14ac:dyDescent="0.3">
      <c r="G4161"/>
    </row>
    <row r="4162" spans="7:7" x14ac:dyDescent="0.3">
      <c r="G4162"/>
    </row>
    <row r="4163" spans="7:7" x14ac:dyDescent="0.3">
      <c r="G4163"/>
    </row>
    <row r="4164" spans="7:7" x14ac:dyDescent="0.3">
      <c r="G4164"/>
    </row>
    <row r="4165" spans="7:7" x14ac:dyDescent="0.3">
      <c r="G4165"/>
    </row>
    <row r="4166" spans="7:7" x14ac:dyDescent="0.3">
      <c r="G4166"/>
    </row>
    <row r="4167" spans="7:7" x14ac:dyDescent="0.3">
      <c r="G4167"/>
    </row>
    <row r="4168" spans="7:7" x14ac:dyDescent="0.3">
      <c r="G4168"/>
    </row>
    <row r="4169" spans="7:7" x14ac:dyDescent="0.3">
      <c r="G4169"/>
    </row>
    <row r="4170" spans="7:7" x14ac:dyDescent="0.3">
      <c r="G4170"/>
    </row>
    <row r="4171" spans="7:7" x14ac:dyDescent="0.3">
      <c r="G4171"/>
    </row>
    <row r="4172" spans="7:7" x14ac:dyDescent="0.3">
      <c r="G4172"/>
    </row>
    <row r="4173" spans="7:7" x14ac:dyDescent="0.3">
      <c r="G4173"/>
    </row>
    <row r="4174" spans="7:7" x14ac:dyDescent="0.3">
      <c r="G4174"/>
    </row>
    <row r="4175" spans="7:7" x14ac:dyDescent="0.3">
      <c r="G4175"/>
    </row>
    <row r="4176" spans="7:7" x14ac:dyDescent="0.3">
      <c r="G4176"/>
    </row>
    <row r="4177" spans="7:7" x14ac:dyDescent="0.3">
      <c r="G4177"/>
    </row>
    <row r="4178" spans="7:7" x14ac:dyDescent="0.3">
      <c r="G4178"/>
    </row>
    <row r="4179" spans="7:7" x14ac:dyDescent="0.3">
      <c r="G4179"/>
    </row>
    <row r="4180" spans="7:7" x14ac:dyDescent="0.3">
      <c r="G4180"/>
    </row>
    <row r="4181" spans="7:7" x14ac:dyDescent="0.3">
      <c r="G4181"/>
    </row>
    <row r="4182" spans="7:7" x14ac:dyDescent="0.3">
      <c r="G4182"/>
    </row>
    <row r="4183" spans="7:7" x14ac:dyDescent="0.3">
      <c r="G4183"/>
    </row>
    <row r="4184" spans="7:7" x14ac:dyDescent="0.3">
      <c r="G4184"/>
    </row>
    <row r="4185" spans="7:7" x14ac:dyDescent="0.3">
      <c r="G4185"/>
    </row>
    <row r="4186" spans="7:7" x14ac:dyDescent="0.3">
      <c r="G4186"/>
    </row>
    <row r="4187" spans="7:7" x14ac:dyDescent="0.3">
      <c r="G4187"/>
    </row>
    <row r="4188" spans="7:7" x14ac:dyDescent="0.3">
      <c r="G4188"/>
    </row>
    <row r="4189" spans="7:7" x14ac:dyDescent="0.3">
      <c r="G4189"/>
    </row>
    <row r="4190" spans="7:7" x14ac:dyDescent="0.3">
      <c r="G4190"/>
    </row>
    <row r="4191" spans="7:7" x14ac:dyDescent="0.3">
      <c r="G4191"/>
    </row>
    <row r="4192" spans="7:7" x14ac:dyDescent="0.3">
      <c r="G4192"/>
    </row>
    <row r="4193" spans="7:7" x14ac:dyDescent="0.3">
      <c r="G4193"/>
    </row>
    <row r="4194" spans="7:7" x14ac:dyDescent="0.3">
      <c r="G4194"/>
    </row>
    <row r="4195" spans="7:7" x14ac:dyDescent="0.3">
      <c r="G4195"/>
    </row>
    <row r="4196" spans="7:7" x14ac:dyDescent="0.3">
      <c r="G4196"/>
    </row>
    <row r="4197" spans="7:7" x14ac:dyDescent="0.3">
      <c r="G4197"/>
    </row>
    <row r="4198" spans="7:7" x14ac:dyDescent="0.3">
      <c r="G4198"/>
    </row>
    <row r="4199" spans="7:7" x14ac:dyDescent="0.3">
      <c r="G4199"/>
    </row>
    <row r="4200" spans="7:7" x14ac:dyDescent="0.3">
      <c r="G4200"/>
    </row>
    <row r="4201" spans="7:7" x14ac:dyDescent="0.3">
      <c r="G4201"/>
    </row>
    <row r="4202" spans="7:7" x14ac:dyDescent="0.3">
      <c r="G4202"/>
    </row>
    <row r="4203" spans="7:7" x14ac:dyDescent="0.3">
      <c r="G4203"/>
    </row>
    <row r="4204" spans="7:7" x14ac:dyDescent="0.3">
      <c r="G4204"/>
    </row>
    <row r="4205" spans="7:7" x14ac:dyDescent="0.3">
      <c r="G4205"/>
    </row>
    <row r="4206" spans="7:7" x14ac:dyDescent="0.3">
      <c r="G4206"/>
    </row>
    <row r="4207" spans="7:7" x14ac:dyDescent="0.3">
      <c r="G4207"/>
    </row>
    <row r="4208" spans="7:7" x14ac:dyDescent="0.3">
      <c r="G4208"/>
    </row>
    <row r="4209" spans="7:7" x14ac:dyDescent="0.3">
      <c r="G4209"/>
    </row>
    <row r="4210" spans="7:7" x14ac:dyDescent="0.3">
      <c r="G4210"/>
    </row>
    <row r="4211" spans="7:7" x14ac:dyDescent="0.3">
      <c r="G4211"/>
    </row>
    <row r="4212" spans="7:7" x14ac:dyDescent="0.3">
      <c r="G4212"/>
    </row>
    <row r="4213" spans="7:7" x14ac:dyDescent="0.3">
      <c r="G4213"/>
    </row>
    <row r="4214" spans="7:7" x14ac:dyDescent="0.3">
      <c r="G4214"/>
    </row>
    <row r="4215" spans="7:7" x14ac:dyDescent="0.3">
      <c r="G4215"/>
    </row>
    <row r="4216" spans="7:7" x14ac:dyDescent="0.3">
      <c r="G4216"/>
    </row>
    <row r="4217" spans="7:7" x14ac:dyDescent="0.3">
      <c r="G4217"/>
    </row>
    <row r="4218" spans="7:7" x14ac:dyDescent="0.3">
      <c r="G4218"/>
    </row>
    <row r="4219" spans="7:7" x14ac:dyDescent="0.3">
      <c r="G4219"/>
    </row>
    <row r="4220" spans="7:7" x14ac:dyDescent="0.3">
      <c r="G4220"/>
    </row>
    <row r="4221" spans="7:7" x14ac:dyDescent="0.3">
      <c r="G4221"/>
    </row>
    <row r="4222" spans="7:7" x14ac:dyDescent="0.3">
      <c r="G4222"/>
    </row>
    <row r="4223" spans="7:7" x14ac:dyDescent="0.3">
      <c r="G4223"/>
    </row>
    <row r="4224" spans="7:7" x14ac:dyDescent="0.3">
      <c r="G4224"/>
    </row>
    <row r="4225" spans="7:7" x14ac:dyDescent="0.3">
      <c r="G4225"/>
    </row>
    <row r="4226" spans="7:7" x14ac:dyDescent="0.3">
      <c r="G4226"/>
    </row>
    <row r="4227" spans="7:7" x14ac:dyDescent="0.3">
      <c r="G4227"/>
    </row>
    <row r="4228" spans="7:7" x14ac:dyDescent="0.3">
      <c r="G4228"/>
    </row>
    <row r="4229" spans="7:7" x14ac:dyDescent="0.3">
      <c r="G4229"/>
    </row>
    <row r="4230" spans="7:7" x14ac:dyDescent="0.3">
      <c r="G4230"/>
    </row>
    <row r="4231" spans="7:7" x14ac:dyDescent="0.3">
      <c r="G4231"/>
    </row>
    <row r="4232" spans="7:7" x14ac:dyDescent="0.3">
      <c r="G4232"/>
    </row>
    <row r="4233" spans="7:7" x14ac:dyDescent="0.3">
      <c r="G4233"/>
    </row>
    <row r="4234" spans="7:7" x14ac:dyDescent="0.3">
      <c r="G4234"/>
    </row>
    <row r="4235" spans="7:7" x14ac:dyDescent="0.3">
      <c r="G4235"/>
    </row>
    <row r="4236" spans="7:7" x14ac:dyDescent="0.3">
      <c r="G4236"/>
    </row>
    <row r="4237" spans="7:7" x14ac:dyDescent="0.3">
      <c r="G4237"/>
    </row>
    <row r="4238" spans="7:7" x14ac:dyDescent="0.3">
      <c r="G4238"/>
    </row>
    <row r="4239" spans="7:7" x14ac:dyDescent="0.3">
      <c r="G4239"/>
    </row>
    <row r="4240" spans="7:7" x14ac:dyDescent="0.3">
      <c r="G4240"/>
    </row>
    <row r="4241" spans="7:7" x14ac:dyDescent="0.3">
      <c r="G4241"/>
    </row>
    <row r="4242" spans="7:7" x14ac:dyDescent="0.3">
      <c r="G4242"/>
    </row>
    <row r="4243" spans="7:7" x14ac:dyDescent="0.3">
      <c r="G4243"/>
    </row>
    <row r="4244" spans="7:7" x14ac:dyDescent="0.3">
      <c r="G4244"/>
    </row>
    <row r="4245" spans="7:7" x14ac:dyDescent="0.3">
      <c r="G4245"/>
    </row>
    <row r="4246" spans="7:7" x14ac:dyDescent="0.3">
      <c r="G4246"/>
    </row>
    <row r="4247" spans="7:7" x14ac:dyDescent="0.3">
      <c r="G4247"/>
    </row>
    <row r="4248" spans="7:7" x14ac:dyDescent="0.3">
      <c r="G4248"/>
    </row>
    <row r="4249" spans="7:7" x14ac:dyDescent="0.3">
      <c r="G4249"/>
    </row>
    <row r="4250" spans="7:7" x14ac:dyDescent="0.3">
      <c r="G4250"/>
    </row>
    <row r="4251" spans="7:7" x14ac:dyDescent="0.3">
      <c r="G4251"/>
    </row>
    <row r="4252" spans="7:7" x14ac:dyDescent="0.3">
      <c r="G4252"/>
    </row>
    <row r="4253" spans="7:7" x14ac:dyDescent="0.3">
      <c r="G4253"/>
    </row>
    <row r="4254" spans="7:7" x14ac:dyDescent="0.3">
      <c r="G4254"/>
    </row>
    <row r="4255" spans="7:7" x14ac:dyDescent="0.3">
      <c r="G4255"/>
    </row>
    <row r="4256" spans="7:7" x14ac:dyDescent="0.3">
      <c r="G4256"/>
    </row>
    <row r="4257" spans="7:7" x14ac:dyDescent="0.3">
      <c r="G4257"/>
    </row>
    <row r="4258" spans="7:7" x14ac:dyDescent="0.3">
      <c r="G4258"/>
    </row>
    <row r="4259" spans="7:7" x14ac:dyDescent="0.3">
      <c r="G4259"/>
    </row>
    <row r="4260" spans="7:7" x14ac:dyDescent="0.3">
      <c r="G4260"/>
    </row>
    <row r="4261" spans="7:7" x14ac:dyDescent="0.3">
      <c r="G4261"/>
    </row>
    <row r="4262" spans="7:7" x14ac:dyDescent="0.3">
      <c r="G4262"/>
    </row>
    <row r="4263" spans="7:7" x14ac:dyDescent="0.3">
      <c r="G4263"/>
    </row>
    <row r="4264" spans="7:7" x14ac:dyDescent="0.3">
      <c r="G4264"/>
    </row>
    <row r="4265" spans="7:7" x14ac:dyDescent="0.3">
      <c r="G4265"/>
    </row>
    <row r="4266" spans="7:7" x14ac:dyDescent="0.3">
      <c r="G4266"/>
    </row>
    <row r="4267" spans="7:7" x14ac:dyDescent="0.3">
      <c r="G4267"/>
    </row>
    <row r="4268" spans="7:7" x14ac:dyDescent="0.3">
      <c r="G4268"/>
    </row>
    <row r="4269" spans="7:7" x14ac:dyDescent="0.3">
      <c r="G4269"/>
    </row>
    <row r="4270" spans="7:7" x14ac:dyDescent="0.3">
      <c r="G4270"/>
    </row>
    <row r="4271" spans="7:7" x14ac:dyDescent="0.3">
      <c r="G4271"/>
    </row>
    <row r="4272" spans="7:7" x14ac:dyDescent="0.3">
      <c r="G4272"/>
    </row>
    <row r="4273" spans="7:7" x14ac:dyDescent="0.3">
      <c r="G4273"/>
    </row>
    <row r="4274" spans="7:7" x14ac:dyDescent="0.3">
      <c r="G4274"/>
    </row>
    <row r="4275" spans="7:7" x14ac:dyDescent="0.3">
      <c r="G4275"/>
    </row>
    <row r="4276" spans="7:7" x14ac:dyDescent="0.3">
      <c r="G4276"/>
    </row>
    <row r="4277" spans="7:7" x14ac:dyDescent="0.3">
      <c r="G4277"/>
    </row>
    <row r="4278" spans="7:7" x14ac:dyDescent="0.3">
      <c r="G4278"/>
    </row>
    <row r="4279" spans="7:7" x14ac:dyDescent="0.3">
      <c r="G4279"/>
    </row>
    <row r="4280" spans="7:7" x14ac:dyDescent="0.3">
      <c r="G4280"/>
    </row>
    <row r="4281" spans="7:7" x14ac:dyDescent="0.3">
      <c r="G4281"/>
    </row>
    <row r="4282" spans="7:7" x14ac:dyDescent="0.3">
      <c r="G4282"/>
    </row>
    <row r="4283" spans="7:7" x14ac:dyDescent="0.3">
      <c r="G4283"/>
    </row>
    <row r="4284" spans="7:7" x14ac:dyDescent="0.3">
      <c r="G4284"/>
    </row>
    <row r="4285" spans="7:7" x14ac:dyDescent="0.3">
      <c r="G4285"/>
    </row>
    <row r="4286" spans="7:7" x14ac:dyDescent="0.3">
      <c r="G4286"/>
    </row>
    <row r="4287" spans="7:7" x14ac:dyDescent="0.3">
      <c r="G4287"/>
    </row>
    <row r="4288" spans="7:7" x14ac:dyDescent="0.3">
      <c r="G4288"/>
    </row>
    <row r="4289" spans="7:7" x14ac:dyDescent="0.3">
      <c r="G4289"/>
    </row>
    <row r="4290" spans="7:7" x14ac:dyDescent="0.3">
      <c r="G4290"/>
    </row>
    <row r="4291" spans="7:7" x14ac:dyDescent="0.3">
      <c r="G4291"/>
    </row>
    <row r="4292" spans="7:7" x14ac:dyDescent="0.3">
      <c r="G4292"/>
    </row>
    <row r="4293" spans="7:7" x14ac:dyDescent="0.3">
      <c r="G4293"/>
    </row>
    <row r="4294" spans="7:7" x14ac:dyDescent="0.3">
      <c r="G4294"/>
    </row>
    <row r="4295" spans="7:7" x14ac:dyDescent="0.3">
      <c r="G4295"/>
    </row>
    <row r="4296" spans="7:7" x14ac:dyDescent="0.3">
      <c r="G4296"/>
    </row>
    <row r="4297" spans="7:7" x14ac:dyDescent="0.3">
      <c r="G4297"/>
    </row>
    <row r="4298" spans="7:7" x14ac:dyDescent="0.3">
      <c r="G4298"/>
    </row>
    <row r="4299" spans="7:7" x14ac:dyDescent="0.3">
      <c r="G4299"/>
    </row>
    <row r="4300" spans="7:7" x14ac:dyDescent="0.3">
      <c r="G4300"/>
    </row>
    <row r="4301" spans="7:7" x14ac:dyDescent="0.3">
      <c r="G4301"/>
    </row>
    <row r="4302" spans="7:7" x14ac:dyDescent="0.3">
      <c r="G4302"/>
    </row>
    <row r="4303" spans="7:7" x14ac:dyDescent="0.3">
      <c r="G4303"/>
    </row>
    <row r="4304" spans="7:7" x14ac:dyDescent="0.3">
      <c r="G4304"/>
    </row>
    <row r="4305" spans="7:7" x14ac:dyDescent="0.3">
      <c r="G4305"/>
    </row>
    <row r="4306" spans="7:7" x14ac:dyDescent="0.3">
      <c r="G4306"/>
    </row>
    <row r="4307" spans="7:7" x14ac:dyDescent="0.3">
      <c r="G4307"/>
    </row>
    <row r="4308" spans="7:7" x14ac:dyDescent="0.3">
      <c r="G4308"/>
    </row>
    <row r="4309" spans="7:7" x14ac:dyDescent="0.3">
      <c r="G4309"/>
    </row>
    <row r="4310" spans="7:7" x14ac:dyDescent="0.3">
      <c r="G4310"/>
    </row>
    <row r="4311" spans="7:7" x14ac:dyDescent="0.3">
      <c r="G4311"/>
    </row>
    <row r="4312" spans="7:7" x14ac:dyDescent="0.3">
      <c r="G4312"/>
    </row>
    <row r="4313" spans="7:7" x14ac:dyDescent="0.3">
      <c r="G4313"/>
    </row>
    <row r="4314" spans="7:7" x14ac:dyDescent="0.3">
      <c r="G4314"/>
    </row>
    <row r="4315" spans="7:7" x14ac:dyDescent="0.3">
      <c r="G4315"/>
    </row>
    <row r="4316" spans="7:7" x14ac:dyDescent="0.3">
      <c r="G4316"/>
    </row>
    <row r="4317" spans="7:7" x14ac:dyDescent="0.3">
      <c r="G4317"/>
    </row>
    <row r="4318" spans="7:7" x14ac:dyDescent="0.3">
      <c r="G4318"/>
    </row>
    <row r="4319" spans="7:7" x14ac:dyDescent="0.3">
      <c r="G4319"/>
    </row>
    <row r="4320" spans="7:7" x14ac:dyDescent="0.3">
      <c r="G4320"/>
    </row>
    <row r="4321" spans="7:7" x14ac:dyDescent="0.3">
      <c r="G4321"/>
    </row>
    <row r="4322" spans="7:7" x14ac:dyDescent="0.3">
      <c r="G4322"/>
    </row>
    <row r="4323" spans="7:7" x14ac:dyDescent="0.3">
      <c r="G4323"/>
    </row>
    <row r="4324" spans="7:7" x14ac:dyDescent="0.3">
      <c r="G4324"/>
    </row>
    <row r="4325" spans="7:7" x14ac:dyDescent="0.3">
      <c r="G4325"/>
    </row>
    <row r="4326" spans="7:7" x14ac:dyDescent="0.3">
      <c r="G4326"/>
    </row>
    <row r="4327" spans="7:7" x14ac:dyDescent="0.3">
      <c r="G4327"/>
    </row>
    <row r="4328" spans="7:7" x14ac:dyDescent="0.3">
      <c r="G4328"/>
    </row>
    <row r="4329" spans="7:7" x14ac:dyDescent="0.3">
      <c r="G4329"/>
    </row>
    <row r="4330" spans="7:7" x14ac:dyDescent="0.3">
      <c r="G4330"/>
    </row>
    <row r="4331" spans="7:7" x14ac:dyDescent="0.3">
      <c r="G4331"/>
    </row>
    <row r="4332" spans="7:7" x14ac:dyDescent="0.3">
      <c r="G4332"/>
    </row>
    <row r="4333" spans="7:7" x14ac:dyDescent="0.3">
      <c r="G4333"/>
    </row>
    <row r="4334" spans="7:7" x14ac:dyDescent="0.3">
      <c r="G4334"/>
    </row>
    <row r="4335" spans="7:7" x14ac:dyDescent="0.3">
      <c r="G4335"/>
    </row>
    <row r="4336" spans="7:7" x14ac:dyDescent="0.3">
      <c r="G4336"/>
    </row>
    <row r="4337" spans="7:7" x14ac:dyDescent="0.3">
      <c r="G4337"/>
    </row>
    <row r="4338" spans="7:7" x14ac:dyDescent="0.3">
      <c r="G4338"/>
    </row>
    <row r="4339" spans="7:7" x14ac:dyDescent="0.3">
      <c r="G4339"/>
    </row>
    <row r="4340" spans="7:7" x14ac:dyDescent="0.3">
      <c r="G4340"/>
    </row>
    <row r="4341" spans="7:7" x14ac:dyDescent="0.3">
      <c r="G4341"/>
    </row>
    <row r="4342" spans="7:7" x14ac:dyDescent="0.3">
      <c r="G4342"/>
    </row>
    <row r="4343" spans="7:7" x14ac:dyDescent="0.3">
      <c r="G4343"/>
    </row>
    <row r="4344" spans="7:7" x14ac:dyDescent="0.3">
      <c r="G4344"/>
    </row>
    <row r="4345" spans="7:7" x14ac:dyDescent="0.3">
      <c r="G4345"/>
    </row>
    <row r="4346" spans="7:7" x14ac:dyDescent="0.3">
      <c r="G4346"/>
    </row>
    <row r="4347" spans="7:7" x14ac:dyDescent="0.3">
      <c r="G4347"/>
    </row>
    <row r="4348" spans="7:7" x14ac:dyDescent="0.3">
      <c r="G4348"/>
    </row>
    <row r="4349" spans="7:7" x14ac:dyDescent="0.3">
      <c r="G4349"/>
    </row>
    <row r="4350" spans="7:7" x14ac:dyDescent="0.3">
      <c r="G4350"/>
    </row>
    <row r="4351" spans="7:7" x14ac:dyDescent="0.3">
      <c r="G4351"/>
    </row>
    <row r="4352" spans="7:7" x14ac:dyDescent="0.3">
      <c r="G4352"/>
    </row>
    <row r="4353" spans="7:7" x14ac:dyDescent="0.3">
      <c r="G4353"/>
    </row>
    <row r="4354" spans="7:7" x14ac:dyDescent="0.3">
      <c r="G4354"/>
    </row>
    <row r="4355" spans="7:7" x14ac:dyDescent="0.3">
      <c r="G4355"/>
    </row>
    <row r="4356" spans="7:7" x14ac:dyDescent="0.3">
      <c r="G4356"/>
    </row>
    <row r="4357" spans="7:7" x14ac:dyDescent="0.3">
      <c r="G4357"/>
    </row>
    <row r="4358" spans="7:7" x14ac:dyDescent="0.3">
      <c r="G4358"/>
    </row>
    <row r="4359" spans="7:7" x14ac:dyDescent="0.3">
      <c r="G4359"/>
    </row>
    <row r="4360" spans="7:7" x14ac:dyDescent="0.3">
      <c r="G4360"/>
    </row>
    <row r="4361" spans="7:7" x14ac:dyDescent="0.3">
      <c r="G4361"/>
    </row>
    <row r="4362" spans="7:7" x14ac:dyDescent="0.3">
      <c r="G4362"/>
    </row>
    <row r="4363" spans="7:7" x14ac:dyDescent="0.3">
      <c r="G4363"/>
    </row>
    <row r="4364" spans="7:7" x14ac:dyDescent="0.3">
      <c r="G4364"/>
    </row>
    <row r="4365" spans="7:7" x14ac:dyDescent="0.3">
      <c r="G4365"/>
    </row>
    <row r="4366" spans="7:7" x14ac:dyDescent="0.3">
      <c r="G4366"/>
    </row>
    <row r="4367" spans="7:7" x14ac:dyDescent="0.3">
      <c r="G4367"/>
    </row>
    <row r="4368" spans="7:7" x14ac:dyDescent="0.3">
      <c r="G4368"/>
    </row>
    <row r="4369" spans="7:7" x14ac:dyDescent="0.3">
      <c r="G4369"/>
    </row>
    <row r="4370" spans="7:7" x14ac:dyDescent="0.3">
      <c r="G4370"/>
    </row>
    <row r="4371" spans="7:7" x14ac:dyDescent="0.3">
      <c r="G4371"/>
    </row>
    <row r="4372" spans="7:7" x14ac:dyDescent="0.3">
      <c r="G4372"/>
    </row>
    <row r="4373" spans="7:7" x14ac:dyDescent="0.3">
      <c r="G4373"/>
    </row>
    <row r="4374" spans="7:7" x14ac:dyDescent="0.3">
      <c r="G4374"/>
    </row>
    <row r="4375" spans="7:7" x14ac:dyDescent="0.3">
      <c r="G4375"/>
    </row>
    <row r="4376" spans="7:7" x14ac:dyDescent="0.3">
      <c r="G4376"/>
    </row>
    <row r="4377" spans="7:7" x14ac:dyDescent="0.3">
      <c r="G4377"/>
    </row>
    <row r="4378" spans="7:7" x14ac:dyDescent="0.3">
      <c r="G4378"/>
    </row>
    <row r="4379" spans="7:7" x14ac:dyDescent="0.3">
      <c r="G4379"/>
    </row>
    <row r="4380" spans="7:7" x14ac:dyDescent="0.3">
      <c r="G4380"/>
    </row>
    <row r="4381" spans="7:7" x14ac:dyDescent="0.3">
      <c r="G4381"/>
    </row>
    <row r="4382" spans="7:7" x14ac:dyDescent="0.3">
      <c r="G4382"/>
    </row>
    <row r="4383" spans="7:7" x14ac:dyDescent="0.3">
      <c r="G4383"/>
    </row>
    <row r="4384" spans="7:7" x14ac:dyDescent="0.3">
      <c r="G4384"/>
    </row>
    <row r="4385" spans="7:7" x14ac:dyDescent="0.3">
      <c r="G4385"/>
    </row>
    <row r="4386" spans="7:7" x14ac:dyDescent="0.3">
      <c r="G4386"/>
    </row>
    <row r="4387" spans="7:7" x14ac:dyDescent="0.3">
      <c r="G4387"/>
    </row>
    <row r="4388" spans="7:7" x14ac:dyDescent="0.3">
      <c r="G4388"/>
    </row>
    <row r="4389" spans="7:7" x14ac:dyDescent="0.3">
      <c r="G4389"/>
    </row>
    <row r="4390" spans="7:7" x14ac:dyDescent="0.3">
      <c r="G4390"/>
    </row>
    <row r="4391" spans="7:7" x14ac:dyDescent="0.3">
      <c r="G4391"/>
    </row>
    <row r="4392" spans="7:7" x14ac:dyDescent="0.3">
      <c r="G4392"/>
    </row>
    <row r="4393" spans="7:7" x14ac:dyDescent="0.3">
      <c r="G4393"/>
    </row>
    <row r="4394" spans="7:7" x14ac:dyDescent="0.3">
      <c r="G4394"/>
    </row>
    <row r="4395" spans="7:7" x14ac:dyDescent="0.3">
      <c r="G4395"/>
    </row>
    <row r="4396" spans="7:7" x14ac:dyDescent="0.3">
      <c r="G4396"/>
    </row>
    <row r="4397" spans="7:7" x14ac:dyDescent="0.3">
      <c r="G4397"/>
    </row>
    <row r="4398" spans="7:7" x14ac:dyDescent="0.3">
      <c r="G4398"/>
    </row>
    <row r="4399" spans="7:7" x14ac:dyDescent="0.3">
      <c r="G4399"/>
    </row>
    <row r="4400" spans="7:7" x14ac:dyDescent="0.3">
      <c r="G4400"/>
    </row>
    <row r="4401" spans="7:7" x14ac:dyDescent="0.3">
      <c r="G4401"/>
    </row>
    <row r="4402" spans="7:7" x14ac:dyDescent="0.3">
      <c r="G4402"/>
    </row>
    <row r="4403" spans="7:7" x14ac:dyDescent="0.3">
      <c r="G4403"/>
    </row>
    <row r="4404" spans="7:7" x14ac:dyDescent="0.3">
      <c r="G4404"/>
    </row>
    <row r="4405" spans="7:7" x14ac:dyDescent="0.3">
      <c r="G4405"/>
    </row>
    <row r="4406" spans="7:7" x14ac:dyDescent="0.3">
      <c r="G4406"/>
    </row>
    <row r="4407" spans="7:7" x14ac:dyDescent="0.3">
      <c r="G4407"/>
    </row>
    <row r="4408" spans="7:7" x14ac:dyDescent="0.3">
      <c r="G4408"/>
    </row>
    <row r="4409" spans="7:7" x14ac:dyDescent="0.3">
      <c r="G4409"/>
    </row>
    <row r="4410" spans="7:7" x14ac:dyDescent="0.3">
      <c r="G4410"/>
    </row>
    <row r="4411" spans="7:7" x14ac:dyDescent="0.3">
      <c r="G4411"/>
    </row>
    <row r="4412" spans="7:7" x14ac:dyDescent="0.3">
      <c r="G4412"/>
    </row>
    <row r="4413" spans="7:7" x14ac:dyDescent="0.3">
      <c r="G4413"/>
    </row>
    <row r="4414" spans="7:7" x14ac:dyDescent="0.3">
      <c r="G4414"/>
    </row>
    <row r="4415" spans="7:7" x14ac:dyDescent="0.3">
      <c r="G4415"/>
    </row>
    <row r="4416" spans="7:7" x14ac:dyDescent="0.3">
      <c r="G4416"/>
    </row>
    <row r="4417" spans="7:7" x14ac:dyDescent="0.3">
      <c r="G4417"/>
    </row>
    <row r="4418" spans="7:7" x14ac:dyDescent="0.3">
      <c r="G4418"/>
    </row>
    <row r="4419" spans="7:7" x14ac:dyDescent="0.3">
      <c r="G4419"/>
    </row>
    <row r="4420" spans="7:7" x14ac:dyDescent="0.3">
      <c r="G4420"/>
    </row>
    <row r="4421" spans="7:7" x14ac:dyDescent="0.3">
      <c r="G4421"/>
    </row>
    <row r="4422" spans="7:7" x14ac:dyDescent="0.3">
      <c r="G4422"/>
    </row>
    <row r="4423" spans="7:7" x14ac:dyDescent="0.3">
      <c r="G4423"/>
    </row>
    <row r="4424" spans="7:7" x14ac:dyDescent="0.3">
      <c r="G4424"/>
    </row>
    <row r="4425" spans="7:7" x14ac:dyDescent="0.3">
      <c r="G4425"/>
    </row>
    <row r="4426" spans="7:7" x14ac:dyDescent="0.3">
      <c r="G4426"/>
    </row>
    <row r="4427" spans="7:7" x14ac:dyDescent="0.3">
      <c r="G4427"/>
    </row>
    <row r="4428" spans="7:7" x14ac:dyDescent="0.3">
      <c r="G4428"/>
    </row>
    <row r="4429" spans="7:7" x14ac:dyDescent="0.3">
      <c r="G4429"/>
    </row>
    <row r="4430" spans="7:7" x14ac:dyDescent="0.3">
      <c r="G4430"/>
    </row>
    <row r="4431" spans="7:7" x14ac:dyDescent="0.3">
      <c r="G4431"/>
    </row>
    <row r="4432" spans="7:7" x14ac:dyDescent="0.3">
      <c r="G4432"/>
    </row>
    <row r="4433" spans="7:7" x14ac:dyDescent="0.3">
      <c r="G4433"/>
    </row>
    <row r="4434" spans="7:7" x14ac:dyDescent="0.3">
      <c r="G4434"/>
    </row>
    <row r="4435" spans="7:7" x14ac:dyDescent="0.3">
      <c r="G4435"/>
    </row>
    <row r="4436" spans="7:7" x14ac:dyDescent="0.3">
      <c r="G4436"/>
    </row>
    <row r="4437" spans="7:7" x14ac:dyDescent="0.3">
      <c r="G4437"/>
    </row>
    <row r="4438" spans="7:7" x14ac:dyDescent="0.3">
      <c r="G4438"/>
    </row>
    <row r="4439" spans="7:7" x14ac:dyDescent="0.3">
      <c r="G4439"/>
    </row>
    <row r="4440" spans="7:7" x14ac:dyDescent="0.3">
      <c r="G4440"/>
    </row>
    <row r="4441" spans="7:7" x14ac:dyDescent="0.3">
      <c r="G4441"/>
    </row>
    <row r="4442" spans="7:7" x14ac:dyDescent="0.3">
      <c r="G4442"/>
    </row>
    <row r="4443" spans="7:7" x14ac:dyDescent="0.3">
      <c r="G4443"/>
    </row>
    <row r="4444" spans="7:7" x14ac:dyDescent="0.3">
      <c r="G4444"/>
    </row>
    <row r="4445" spans="7:7" x14ac:dyDescent="0.3">
      <c r="G4445"/>
    </row>
    <row r="4446" spans="7:7" x14ac:dyDescent="0.3">
      <c r="G4446"/>
    </row>
    <row r="4447" spans="7:7" x14ac:dyDescent="0.3">
      <c r="G4447"/>
    </row>
    <row r="4448" spans="7:7" x14ac:dyDescent="0.3">
      <c r="G4448"/>
    </row>
    <row r="4449" spans="7:7" x14ac:dyDescent="0.3">
      <c r="G4449"/>
    </row>
    <row r="4450" spans="7:7" x14ac:dyDescent="0.3">
      <c r="G4450"/>
    </row>
    <row r="4451" spans="7:7" x14ac:dyDescent="0.3">
      <c r="G4451"/>
    </row>
    <row r="4452" spans="7:7" x14ac:dyDescent="0.3">
      <c r="G4452"/>
    </row>
    <row r="4453" spans="7:7" x14ac:dyDescent="0.3">
      <c r="G4453"/>
    </row>
    <row r="4454" spans="7:7" x14ac:dyDescent="0.3">
      <c r="G4454"/>
    </row>
    <row r="4455" spans="7:7" x14ac:dyDescent="0.3">
      <c r="G4455"/>
    </row>
    <row r="4456" spans="7:7" x14ac:dyDescent="0.3">
      <c r="G4456"/>
    </row>
    <row r="4457" spans="7:7" x14ac:dyDescent="0.3">
      <c r="G4457"/>
    </row>
    <row r="4458" spans="7:7" x14ac:dyDescent="0.3">
      <c r="G4458"/>
    </row>
    <row r="4459" spans="7:7" x14ac:dyDescent="0.3">
      <c r="G4459"/>
    </row>
    <row r="4460" spans="7:7" x14ac:dyDescent="0.3">
      <c r="G4460"/>
    </row>
    <row r="4461" spans="7:7" x14ac:dyDescent="0.3">
      <c r="G4461"/>
    </row>
    <row r="4462" spans="7:7" x14ac:dyDescent="0.3">
      <c r="G4462"/>
    </row>
    <row r="4463" spans="7:7" x14ac:dyDescent="0.3">
      <c r="G4463"/>
    </row>
    <row r="4464" spans="7:7" x14ac:dyDescent="0.3">
      <c r="G4464"/>
    </row>
    <row r="4465" spans="7:7" x14ac:dyDescent="0.3">
      <c r="G4465"/>
    </row>
    <row r="4466" spans="7:7" x14ac:dyDescent="0.3">
      <c r="G4466"/>
    </row>
    <row r="4467" spans="7:7" x14ac:dyDescent="0.3">
      <c r="G4467"/>
    </row>
    <row r="4468" spans="7:7" x14ac:dyDescent="0.3">
      <c r="G4468"/>
    </row>
    <row r="4469" spans="7:7" x14ac:dyDescent="0.3">
      <c r="G4469"/>
    </row>
    <row r="4470" spans="7:7" x14ac:dyDescent="0.3">
      <c r="G4470"/>
    </row>
    <row r="4471" spans="7:7" x14ac:dyDescent="0.3">
      <c r="G4471"/>
    </row>
    <row r="4472" spans="7:7" x14ac:dyDescent="0.3">
      <c r="G4472"/>
    </row>
    <row r="4473" spans="7:7" x14ac:dyDescent="0.3">
      <c r="G4473"/>
    </row>
    <row r="4474" spans="7:7" x14ac:dyDescent="0.3">
      <c r="G4474"/>
    </row>
    <row r="4475" spans="7:7" x14ac:dyDescent="0.3">
      <c r="G4475"/>
    </row>
    <row r="4476" spans="7:7" x14ac:dyDescent="0.3">
      <c r="G4476"/>
    </row>
    <row r="4477" spans="7:7" x14ac:dyDescent="0.3">
      <c r="G4477"/>
    </row>
    <row r="4478" spans="7:7" x14ac:dyDescent="0.3">
      <c r="G4478"/>
    </row>
    <row r="4479" spans="7:7" x14ac:dyDescent="0.3">
      <c r="G4479"/>
    </row>
    <row r="4480" spans="7:7" x14ac:dyDescent="0.3">
      <c r="G4480"/>
    </row>
    <row r="4481" spans="7:7" x14ac:dyDescent="0.3">
      <c r="G4481"/>
    </row>
    <row r="4482" spans="7:7" x14ac:dyDescent="0.3">
      <c r="G4482"/>
    </row>
    <row r="4483" spans="7:7" x14ac:dyDescent="0.3">
      <c r="G4483"/>
    </row>
    <row r="4484" spans="7:7" x14ac:dyDescent="0.3">
      <c r="G4484"/>
    </row>
    <row r="4485" spans="7:7" x14ac:dyDescent="0.3">
      <c r="G4485"/>
    </row>
    <row r="4486" spans="7:7" x14ac:dyDescent="0.3">
      <c r="G4486"/>
    </row>
    <row r="4487" spans="7:7" x14ac:dyDescent="0.3">
      <c r="G4487"/>
    </row>
    <row r="4488" spans="7:7" x14ac:dyDescent="0.3">
      <c r="G4488"/>
    </row>
    <row r="4489" spans="7:7" x14ac:dyDescent="0.3">
      <c r="G4489"/>
    </row>
    <row r="4490" spans="7:7" x14ac:dyDescent="0.3">
      <c r="G4490"/>
    </row>
    <row r="4491" spans="7:7" x14ac:dyDescent="0.3">
      <c r="G4491"/>
    </row>
    <row r="4492" spans="7:7" x14ac:dyDescent="0.3">
      <c r="G4492"/>
    </row>
    <row r="4493" spans="7:7" x14ac:dyDescent="0.3">
      <c r="G4493"/>
    </row>
    <row r="4494" spans="7:7" x14ac:dyDescent="0.3">
      <c r="G4494"/>
    </row>
    <row r="4495" spans="7:7" x14ac:dyDescent="0.3">
      <c r="G4495"/>
    </row>
    <row r="4496" spans="7:7" x14ac:dyDescent="0.3">
      <c r="G4496"/>
    </row>
    <row r="4497" spans="7:7" x14ac:dyDescent="0.3">
      <c r="G4497"/>
    </row>
    <row r="4498" spans="7:7" x14ac:dyDescent="0.3">
      <c r="G4498"/>
    </row>
    <row r="4499" spans="7:7" x14ac:dyDescent="0.3">
      <c r="G4499"/>
    </row>
    <row r="4500" spans="7:7" x14ac:dyDescent="0.3">
      <c r="G4500"/>
    </row>
    <row r="4501" spans="7:7" x14ac:dyDescent="0.3">
      <c r="G4501"/>
    </row>
    <row r="4502" spans="7:7" x14ac:dyDescent="0.3">
      <c r="G4502"/>
    </row>
    <row r="4503" spans="7:7" x14ac:dyDescent="0.3">
      <c r="G4503"/>
    </row>
    <row r="4504" spans="7:7" x14ac:dyDescent="0.3">
      <c r="G4504"/>
    </row>
    <row r="4505" spans="7:7" x14ac:dyDescent="0.3">
      <c r="G4505"/>
    </row>
    <row r="4506" spans="7:7" x14ac:dyDescent="0.3">
      <c r="G4506"/>
    </row>
    <row r="4507" spans="7:7" x14ac:dyDescent="0.3">
      <c r="G4507"/>
    </row>
    <row r="4508" spans="7:7" x14ac:dyDescent="0.3">
      <c r="G4508"/>
    </row>
    <row r="4509" spans="7:7" x14ac:dyDescent="0.3">
      <c r="G4509"/>
    </row>
    <row r="4510" spans="7:7" x14ac:dyDescent="0.3">
      <c r="G4510"/>
    </row>
    <row r="4511" spans="7:7" x14ac:dyDescent="0.3">
      <c r="G4511"/>
    </row>
    <row r="4512" spans="7:7" x14ac:dyDescent="0.3">
      <c r="G4512"/>
    </row>
    <row r="4513" spans="7:7" x14ac:dyDescent="0.3">
      <c r="G4513"/>
    </row>
    <row r="4514" spans="7:7" x14ac:dyDescent="0.3">
      <c r="G4514"/>
    </row>
    <row r="4515" spans="7:7" x14ac:dyDescent="0.3">
      <c r="G4515"/>
    </row>
    <row r="4516" spans="7:7" x14ac:dyDescent="0.3">
      <c r="G4516"/>
    </row>
    <row r="4517" spans="7:7" x14ac:dyDescent="0.3">
      <c r="G4517"/>
    </row>
    <row r="4518" spans="7:7" x14ac:dyDescent="0.3">
      <c r="G4518"/>
    </row>
    <row r="4519" spans="7:7" x14ac:dyDescent="0.3">
      <c r="G4519"/>
    </row>
    <row r="4520" spans="7:7" x14ac:dyDescent="0.3">
      <c r="G4520"/>
    </row>
    <row r="4521" spans="7:7" x14ac:dyDescent="0.3">
      <c r="G4521"/>
    </row>
    <row r="4522" spans="7:7" x14ac:dyDescent="0.3">
      <c r="G4522"/>
    </row>
    <row r="4523" spans="7:7" x14ac:dyDescent="0.3">
      <c r="G4523"/>
    </row>
    <row r="4524" spans="7:7" x14ac:dyDescent="0.3">
      <c r="G4524"/>
    </row>
    <row r="4525" spans="7:7" x14ac:dyDescent="0.3">
      <c r="G4525"/>
    </row>
    <row r="4526" spans="7:7" x14ac:dyDescent="0.3">
      <c r="G4526"/>
    </row>
    <row r="4527" spans="7:7" x14ac:dyDescent="0.3">
      <c r="G4527"/>
    </row>
    <row r="4528" spans="7:7" x14ac:dyDescent="0.3">
      <c r="G4528"/>
    </row>
    <row r="4529" spans="7:7" x14ac:dyDescent="0.3">
      <c r="G4529"/>
    </row>
    <row r="4530" spans="7:7" x14ac:dyDescent="0.3">
      <c r="G4530"/>
    </row>
    <row r="4531" spans="7:7" x14ac:dyDescent="0.3">
      <c r="G4531"/>
    </row>
    <row r="4532" spans="7:7" x14ac:dyDescent="0.3">
      <c r="G4532"/>
    </row>
    <row r="4533" spans="7:7" x14ac:dyDescent="0.3">
      <c r="G4533"/>
    </row>
    <row r="4534" spans="7:7" x14ac:dyDescent="0.3">
      <c r="G4534"/>
    </row>
    <row r="4535" spans="7:7" x14ac:dyDescent="0.3">
      <c r="G4535"/>
    </row>
    <row r="4536" spans="7:7" x14ac:dyDescent="0.3">
      <c r="G4536"/>
    </row>
    <row r="4537" spans="7:7" x14ac:dyDescent="0.3">
      <c r="G4537"/>
    </row>
    <row r="4538" spans="7:7" x14ac:dyDescent="0.3">
      <c r="G4538"/>
    </row>
    <row r="4539" spans="7:7" x14ac:dyDescent="0.3">
      <c r="G4539"/>
    </row>
    <row r="4540" spans="7:7" x14ac:dyDescent="0.3">
      <c r="G4540"/>
    </row>
    <row r="4541" spans="7:7" x14ac:dyDescent="0.3">
      <c r="G4541"/>
    </row>
    <row r="4542" spans="7:7" x14ac:dyDescent="0.3">
      <c r="G4542"/>
    </row>
    <row r="4543" spans="7:7" x14ac:dyDescent="0.3">
      <c r="G4543"/>
    </row>
    <row r="4544" spans="7:7" x14ac:dyDescent="0.3">
      <c r="G4544"/>
    </row>
    <row r="4545" spans="7:7" x14ac:dyDescent="0.3">
      <c r="G4545"/>
    </row>
    <row r="4546" spans="7:7" x14ac:dyDescent="0.3">
      <c r="G4546"/>
    </row>
    <row r="4547" spans="7:7" x14ac:dyDescent="0.3">
      <c r="G4547"/>
    </row>
    <row r="4548" spans="7:7" x14ac:dyDescent="0.3">
      <c r="G4548"/>
    </row>
    <row r="4549" spans="7:7" x14ac:dyDescent="0.3">
      <c r="G4549"/>
    </row>
    <row r="4550" spans="7:7" x14ac:dyDescent="0.3">
      <c r="G4550"/>
    </row>
    <row r="4551" spans="7:7" x14ac:dyDescent="0.3">
      <c r="G4551"/>
    </row>
    <row r="4552" spans="7:7" x14ac:dyDescent="0.3">
      <c r="G4552"/>
    </row>
    <row r="4553" spans="7:7" x14ac:dyDescent="0.3">
      <c r="G4553"/>
    </row>
    <row r="4554" spans="7:7" x14ac:dyDescent="0.3">
      <c r="G4554"/>
    </row>
    <row r="4555" spans="7:7" x14ac:dyDescent="0.3">
      <c r="G4555"/>
    </row>
    <row r="4556" spans="7:7" x14ac:dyDescent="0.3">
      <c r="G4556"/>
    </row>
    <row r="4557" spans="7:7" x14ac:dyDescent="0.3">
      <c r="G4557"/>
    </row>
    <row r="4558" spans="7:7" x14ac:dyDescent="0.3">
      <c r="G4558"/>
    </row>
    <row r="4559" spans="7:7" x14ac:dyDescent="0.3">
      <c r="G4559"/>
    </row>
    <row r="4560" spans="7:7" x14ac:dyDescent="0.3">
      <c r="G4560"/>
    </row>
    <row r="4561" spans="7:7" x14ac:dyDescent="0.3">
      <c r="G4561"/>
    </row>
    <row r="4562" spans="7:7" x14ac:dyDescent="0.3">
      <c r="G4562"/>
    </row>
    <row r="4563" spans="7:7" x14ac:dyDescent="0.3">
      <c r="G4563"/>
    </row>
    <row r="4564" spans="7:7" x14ac:dyDescent="0.3">
      <c r="G4564"/>
    </row>
    <row r="4565" spans="7:7" x14ac:dyDescent="0.3">
      <c r="G4565"/>
    </row>
    <row r="4566" spans="7:7" x14ac:dyDescent="0.3">
      <c r="G4566"/>
    </row>
    <row r="4567" spans="7:7" x14ac:dyDescent="0.3">
      <c r="G4567"/>
    </row>
    <row r="4568" spans="7:7" x14ac:dyDescent="0.3">
      <c r="G4568"/>
    </row>
    <row r="4569" spans="7:7" x14ac:dyDescent="0.3">
      <c r="G4569"/>
    </row>
    <row r="4570" spans="7:7" x14ac:dyDescent="0.3">
      <c r="G4570"/>
    </row>
    <row r="4571" spans="7:7" x14ac:dyDescent="0.3">
      <c r="G4571"/>
    </row>
    <row r="4572" spans="7:7" x14ac:dyDescent="0.3">
      <c r="G4572"/>
    </row>
    <row r="4573" spans="7:7" x14ac:dyDescent="0.3">
      <c r="G4573"/>
    </row>
    <row r="4574" spans="7:7" x14ac:dyDescent="0.3">
      <c r="G4574"/>
    </row>
    <row r="4575" spans="7:7" x14ac:dyDescent="0.3">
      <c r="G4575"/>
    </row>
    <row r="4576" spans="7:7" x14ac:dyDescent="0.3">
      <c r="G4576"/>
    </row>
    <row r="4577" spans="7:7" x14ac:dyDescent="0.3">
      <c r="G4577"/>
    </row>
    <row r="4578" spans="7:7" x14ac:dyDescent="0.3">
      <c r="G4578"/>
    </row>
    <row r="4579" spans="7:7" x14ac:dyDescent="0.3">
      <c r="G4579"/>
    </row>
    <row r="4580" spans="7:7" x14ac:dyDescent="0.3">
      <c r="G4580"/>
    </row>
    <row r="4581" spans="7:7" x14ac:dyDescent="0.3">
      <c r="G4581"/>
    </row>
    <row r="4582" spans="7:7" x14ac:dyDescent="0.3">
      <c r="G4582"/>
    </row>
    <row r="4583" spans="7:7" x14ac:dyDescent="0.3">
      <c r="G4583"/>
    </row>
    <row r="4584" spans="7:7" x14ac:dyDescent="0.3">
      <c r="G4584"/>
    </row>
    <row r="4585" spans="7:7" x14ac:dyDescent="0.3">
      <c r="G4585"/>
    </row>
    <row r="4586" spans="7:7" x14ac:dyDescent="0.3">
      <c r="G4586"/>
    </row>
    <row r="4587" spans="7:7" x14ac:dyDescent="0.3">
      <c r="G4587"/>
    </row>
    <row r="4588" spans="7:7" x14ac:dyDescent="0.3">
      <c r="G4588"/>
    </row>
    <row r="4589" spans="7:7" x14ac:dyDescent="0.3">
      <c r="G4589"/>
    </row>
    <row r="4590" spans="7:7" x14ac:dyDescent="0.3">
      <c r="G4590"/>
    </row>
    <row r="4591" spans="7:7" x14ac:dyDescent="0.3">
      <c r="G4591"/>
    </row>
    <row r="4592" spans="7:7" x14ac:dyDescent="0.3">
      <c r="G4592"/>
    </row>
    <row r="4593" spans="7:7" x14ac:dyDescent="0.3">
      <c r="G4593"/>
    </row>
    <row r="4594" spans="7:7" x14ac:dyDescent="0.3">
      <c r="G4594"/>
    </row>
    <row r="4595" spans="7:7" x14ac:dyDescent="0.3">
      <c r="G4595"/>
    </row>
    <row r="4596" spans="7:7" x14ac:dyDescent="0.3">
      <c r="G4596"/>
    </row>
    <row r="4597" spans="7:7" x14ac:dyDescent="0.3">
      <c r="G4597"/>
    </row>
    <row r="4598" spans="7:7" x14ac:dyDescent="0.3">
      <c r="G4598"/>
    </row>
    <row r="4599" spans="7:7" x14ac:dyDescent="0.3">
      <c r="G4599"/>
    </row>
    <row r="4600" spans="7:7" x14ac:dyDescent="0.3">
      <c r="G4600"/>
    </row>
    <row r="4601" spans="7:7" x14ac:dyDescent="0.3">
      <c r="G4601"/>
    </row>
    <row r="4602" spans="7:7" x14ac:dyDescent="0.3">
      <c r="G4602"/>
    </row>
    <row r="4603" spans="7:7" x14ac:dyDescent="0.3">
      <c r="G4603"/>
    </row>
    <row r="4604" spans="7:7" x14ac:dyDescent="0.3">
      <c r="G4604"/>
    </row>
    <row r="4605" spans="7:7" x14ac:dyDescent="0.3">
      <c r="G4605"/>
    </row>
    <row r="4606" spans="7:7" x14ac:dyDescent="0.3">
      <c r="G4606"/>
    </row>
    <row r="4607" spans="7:7" x14ac:dyDescent="0.3">
      <c r="G4607"/>
    </row>
    <row r="4608" spans="7:7" x14ac:dyDescent="0.3">
      <c r="G4608"/>
    </row>
    <row r="4609" spans="7:7" x14ac:dyDescent="0.3">
      <c r="G4609"/>
    </row>
    <row r="4610" spans="7:7" x14ac:dyDescent="0.3">
      <c r="G4610"/>
    </row>
    <row r="4611" spans="7:7" x14ac:dyDescent="0.3">
      <c r="G4611"/>
    </row>
    <row r="4612" spans="7:7" x14ac:dyDescent="0.3">
      <c r="G4612"/>
    </row>
    <row r="4613" spans="7:7" x14ac:dyDescent="0.3">
      <c r="G4613"/>
    </row>
    <row r="4614" spans="7:7" x14ac:dyDescent="0.3">
      <c r="G4614"/>
    </row>
    <row r="4615" spans="7:7" x14ac:dyDescent="0.3">
      <c r="G4615"/>
    </row>
    <row r="4616" spans="7:7" x14ac:dyDescent="0.3">
      <c r="G4616"/>
    </row>
    <row r="4617" spans="7:7" x14ac:dyDescent="0.3">
      <c r="G4617"/>
    </row>
    <row r="4618" spans="7:7" x14ac:dyDescent="0.3">
      <c r="G4618"/>
    </row>
    <row r="4619" spans="7:7" x14ac:dyDescent="0.3">
      <c r="G4619"/>
    </row>
    <row r="4620" spans="7:7" x14ac:dyDescent="0.3">
      <c r="G4620"/>
    </row>
    <row r="4621" spans="7:7" x14ac:dyDescent="0.3">
      <c r="G4621"/>
    </row>
    <row r="4622" spans="7:7" x14ac:dyDescent="0.3">
      <c r="G4622"/>
    </row>
    <row r="4623" spans="7:7" x14ac:dyDescent="0.3">
      <c r="G4623"/>
    </row>
    <row r="4624" spans="7:7" x14ac:dyDescent="0.3">
      <c r="G4624"/>
    </row>
    <row r="4625" spans="7:7" x14ac:dyDescent="0.3">
      <c r="G4625"/>
    </row>
    <row r="4626" spans="7:7" x14ac:dyDescent="0.3">
      <c r="G4626"/>
    </row>
    <row r="4627" spans="7:7" x14ac:dyDescent="0.3">
      <c r="G4627"/>
    </row>
    <row r="4628" spans="7:7" x14ac:dyDescent="0.3">
      <c r="G4628"/>
    </row>
    <row r="4629" spans="7:7" x14ac:dyDescent="0.3">
      <c r="G4629"/>
    </row>
    <row r="4630" spans="7:7" x14ac:dyDescent="0.3">
      <c r="G4630"/>
    </row>
    <row r="4631" spans="7:7" x14ac:dyDescent="0.3">
      <c r="G4631"/>
    </row>
    <row r="4632" spans="7:7" x14ac:dyDescent="0.3">
      <c r="G4632"/>
    </row>
    <row r="4633" spans="7:7" x14ac:dyDescent="0.3">
      <c r="G4633"/>
    </row>
    <row r="4634" spans="7:7" x14ac:dyDescent="0.3">
      <c r="G4634"/>
    </row>
    <row r="4635" spans="7:7" x14ac:dyDescent="0.3">
      <c r="G4635"/>
    </row>
    <row r="4636" spans="7:7" x14ac:dyDescent="0.3">
      <c r="G4636"/>
    </row>
    <row r="4637" spans="7:7" x14ac:dyDescent="0.3">
      <c r="G4637"/>
    </row>
    <row r="4638" spans="7:7" x14ac:dyDescent="0.3">
      <c r="G4638"/>
    </row>
    <row r="4639" spans="7:7" x14ac:dyDescent="0.3">
      <c r="G4639"/>
    </row>
    <row r="4640" spans="7:7" x14ac:dyDescent="0.3">
      <c r="G4640"/>
    </row>
    <row r="4641" spans="7:7" x14ac:dyDescent="0.3">
      <c r="G4641"/>
    </row>
    <row r="4642" spans="7:7" x14ac:dyDescent="0.3">
      <c r="G4642"/>
    </row>
    <row r="4643" spans="7:7" x14ac:dyDescent="0.3">
      <c r="G4643"/>
    </row>
    <row r="4644" spans="7:7" x14ac:dyDescent="0.3">
      <c r="G4644"/>
    </row>
    <row r="4645" spans="7:7" x14ac:dyDescent="0.3">
      <c r="G4645"/>
    </row>
    <row r="4646" spans="7:7" x14ac:dyDescent="0.3">
      <c r="G4646"/>
    </row>
    <row r="4647" spans="7:7" x14ac:dyDescent="0.3">
      <c r="G4647"/>
    </row>
    <row r="4648" spans="7:7" x14ac:dyDescent="0.3">
      <c r="G4648"/>
    </row>
    <row r="4649" spans="7:7" x14ac:dyDescent="0.3">
      <c r="G4649"/>
    </row>
    <row r="4650" spans="7:7" x14ac:dyDescent="0.3">
      <c r="G4650"/>
    </row>
    <row r="4651" spans="7:7" x14ac:dyDescent="0.3">
      <c r="G4651"/>
    </row>
    <row r="4652" spans="7:7" x14ac:dyDescent="0.3">
      <c r="G4652"/>
    </row>
    <row r="4653" spans="7:7" x14ac:dyDescent="0.3">
      <c r="G4653"/>
    </row>
    <row r="4654" spans="7:7" x14ac:dyDescent="0.3">
      <c r="G4654"/>
    </row>
    <row r="4655" spans="7:7" x14ac:dyDescent="0.3">
      <c r="G4655"/>
    </row>
    <row r="4656" spans="7:7" x14ac:dyDescent="0.3">
      <c r="G4656"/>
    </row>
    <row r="4657" spans="7:7" x14ac:dyDescent="0.3">
      <c r="G4657"/>
    </row>
    <row r="4658" spans="7:7" x14ac:dyDescent="0.3">
      <c r="G4658"/>
    </row>
    <row r="4659" spans="7:7" x14ac:dyDescent="0.3">
      <c r="G4659"/>
    </row>
    <row r="4660" spans="7:7" x14ac:dyDescent="0.3">
      <c r="G4660"/>
    </row>
    <row r="4661" spans="7:7" x14ac:dyDescent="0.3">
      <c r="G4661"/>
    </row>
    <row r="4662" spans="7:7" x14ac:dyDescent="0.3">
      <c r="G4662"/>
    </row>
    <row r="4663" spans="7:7" x14ac:dyDescent="0.3">
      <c r="G4663"/>
    </row>
    <row r="4664" spans="7:7" x14ac:dyDescent="0.3">
      <c r="G4664"/>
    </row>
    <row r="4665" spans="7:7" x14ac:dyDescent="0.3">
      <c r="G4665"/>
    </row>
    <row r="4666" spans="7:7" x14ac:dyDescent="0.3">
      <c r="G4666"/>
    </row>
    <row r="4667" spans="7:7" x14ac:dyDescent="0.3">
      <c r="G4667"/>
    </row>
    <row r="4668" spans="7:7" x14ac:dyDescent="0.3">
      <c r="G4668"/>
    </row>
    <row r="4669" spans="7:7" x14ac:dyDescent="0.3">
      <c r="G4669"/>
    </row>
    <row r="4670" spans="7:7" x14ac:dyDescent="0.3">
      <c r="G4670"/>
    </row>
    <row r="4671" spans="7:7" x14ac:dyDescent="0.3">
      <c r="G4671"/>
    </row>
    <row r="4672" spans="7:7" x14ac:dyDescent="0.3">
      <c r="G4672"/>
    </row>
    <row r="4673" spans="7:7" x14ac:dyDescent="0.3">
      <c r="G4673"/>
    </row>
    <row r="4674" spans="7:7" x14ac:dyDescent="0.3">
      <c r="G4674"/>
    </row>
    <row r="4675" spans="7:7" x14ac:dyDescent="0.3">
      <c r="G4675"/>
    </row>
    <row r="4676" spans="7:7" x14ac:dyDescent="0.3">
      <c r="G4676"/>
    </row>
    <row r="4677" spans="7:7" x14ac:dyDescent="0.3">
      <c r="G4677"/>
    </row>
    <row r="4678" spans="7:7" x14ac:dyDescent="0.3">
      <c r="G4678"/>
    </row>
    <row r="4679" spans="7:7" x14ac:dyDescent="0.3">
      <c r="G4679"/>
    </row>
    <row r="4680" spans="7:7" x14ac:dyDescent="0.3">
      <c r="G4680"/>
    </row>
    <row r="4681" spans="7:7" x14ac:dyDescent="0.3">
      <c r="G4681"/>
    </row>
    <row r="4682" spans="7:7" x14ac:dyDescent="0.3">
      <c r="G4682"/>
    </row>
    <row r="4683" spans="7:7" x14ac:dyDescent="0.3">
      <c r="G4683"/>
    </row>
    <row r="4684" spans="7:7" x14ac:dyDescent="0.3">
      <c r="G4684"/>
    </row>
    <row r="4685" spans="7:7" x14ac:dyDescent="0.3">
      <c r="G4685"/>
    </row>
    <row r="4686" spans="7:7" x14ac:dyDescent="0.3">
      <c r="G4686"/>
    </row>
    <row r="4687" spans="7:7" x14ac:dyDescent="0.3">
      <c r="G4687"/>
    </row>
    <row r="4688" spans="7:7" x14ac:dyDescent="0.3">
      <c r="G4688"/>
    </row>
    <row r="4689" spans="7:7" x14ac:dyDescent="0.3">
      <c r="G4689"/>
    </row>
    <row r="4690" spans="7:7" x14ac:dyDescent="0.3">
      <c r="G4690"/>
    </row>
    <row r="4691" spans="7:7" x14ac:dyDescent="0.3">
      <c r="G4691"/>
    </row>
    <row r="4692" spans="7:7" x14ac:dyDescent="0.3">
      <c r="G4692"/>
    </row>
    <row r="4693" spans="7:7" x14ac:dyDescent="0.3">
      <c r="G4693"/>
    </row>
    <row r="4694" spans="7:7" x14ac:dyDescent="0.3">
      <c r="G4694"/>
    </row>
    <row r="4695" spans="7:7" x14ac:dyDescent="0.3">
      <c r="G4695"/>
    </row>
    <row r="4696" spans="7:7" x14ac:dyDescent="0.3">
      <c r="G4696"/>
    </row>
    <row r="4697" spans="7:7" x14ac:dyDescent="0.3">
      <c r="G4697"/>
    </row>
    <row r="4698" spans="7:7" x14ac:dyDescent="0.3">
      <c r="G4698"/>
    </row>
    <row r="4699" spans="7:7" x14ac:dyDescent="0.3">
      <c r="G4699"/>
    </row>
    <row r="4700" spans="7:7" x14ac:dyDescent="0.3">
      <c r="G4700"/>
    </row>
    <row r="4701" spans="7:7" x14ac:dyDescent="0.3">
      <c r="G4701"/>
    </row>
    <row r="4702" spans="7:7" x14ac:dyDescent="0.3">
      <c r="G4702"/>
    </row>
    <row r="4703" spans="7:7" x14ac:dyDescent="0.3">
      <c r="G4703"/>
    </row>
    <row r="4704" spans="7:7" x14ac:dyDescent="0.3">
      <c r="G4704"/>
    </row>
    <row r="4705" spans="7:7" x14ac:dyDescent="0.3">
      <c r="G4705"/>
    </row>
    <row r="4706" spans="7:7" x14ac:dyDescent="0.3">
      <c r="G4706"/>
    </row>
    <row r="4707" spans="7:7" x14ac:dyDescent="0.3">
      <c r="G4707"/>
    </row>
    <row r="4708" spans="7:7" x14ac:dyDescent="0.3">
      <c r="G4708"/>
    </row>
    <row r="4709" spans="7:7" x14ac:dyDescent="0.3">
      <c r="G4709"/>
    </row>
    <row r="4710" spans="7:7" x14ac:dyDescent="0.3">
      <c r="G4710"/>
    </row>
    <row r="4711" spans="7:7" x14ac:dyDescent="0.3">
      <c r="G4711"/>
    </row>
    <row r="4712" spans="7:7" x14ac:dyDescent="0.3">
      <c r="G4712"/>
    </row>
    <row r="4713" spans="7:7" x14ac:dyDescent="0.3">
      <c r="G4713"/>
    </row>
    <row r="4714" spans="7:7" x14ac:dyDescent="0.3">
      <c r="G4714"/>
    </row>
    <row r="4715" spans="7:7" x14ac:dyDescent="0.3">
      <c r="G4715"/>
    </row>
    <row r="4716" spans="7:7" x14ac:dyDescent="0.3">
      <c r="G4716"/>
    </row>
    <row r="4717" spans="7:7" x14ac:dyDescent="0.3">
      <c r="G4717"/>
    </row>
    <row r="4718" spans="7:7" x14ac:dyDescent="0.3">
      <c r="G4718"/>
    </row>
    <row r="4719" spans="7:7" x14ac:dyDescent="0.3">
      <c r="G4719"/>
    </row>
    <row r="4720" spans="7:7" x14ac:dyDescent="0.3">
      <c r="G4720"/>
    </row>
    <row r="4721" spans="7:7" x14ac:dyDescent="0.3">
      <c r="G4721"/>
    </row>
    <row r="4722" spans="7:7" x14ac:dyDescent="0.3">
      <c r="G4722"/>
    </row>
    <row r="4723" spans="7:7" x14ac:dyDescent="0.3">
      <c r="G4723"/>
    </row>
    <row r="4724" spans="7:7" x14ac:dyDescent="0.3">
      <c r="G4724"/>
    </row>
    <row r="4725" spans="7:7" x14ac:dyDescent="0.3">
      <c r="G4725"/>
    </row>
    <row r="4726" spans="7:7" x14ac:dyDescent="0.3">
      <c r="G4726"/>
    </row>
    <row r="4727" spans="7:7" x14ac:dyDescent="0.3">
      <c r="G4727"/>
    </row>
    <row r="4728" spans="7:7" x14ac:dyDescent="0.3">
      <c r="G4728"/>
    </row>
    <row r="4729" spans="7:7" x14ac:dyDescent="0.3">
      <c r="G4729"/>
    </row>
    <row r="4730" spans="7:7" x14ac:dyDescent="0.3">
      <c r="G4730"/>
    </row>
    <row r="4731" spans="7:7" x14ac:dyDescent="0.3">
      <c r="G4731"/>
    </row>
    <row r="4732" spans="7:7" x14ac:dyDescent="0.3">
      <c r="G4732"/>
    </row>
    <row r="4733" spans="7:7" x14ac:dyDescent="0.3">
      <c r="G4733"/>
    </row>
    <row r="4734" spans="7:7" x14ac:dyDescent="0.3">
      <c r="G4734"/>
    </row>
    <row r="4735" spans="7:7" x14ac:dyDescent="0.3">
      <c r="G4735"/>
    </row>
    <row r="4736" spans="7:7" x14ac:dyDescent="0.3">
      <c r="G4736"/>
    </row>
    <row r="4737" spans="7:7" x14ac:dyDescent="0.3">
      <c r="G4737"/>
    </row>
    <row r="4738" spans="7:7" x14ac:dyDescent="0.3">
      <c r="G4738"/>
    </row>
    <row r="4739" spans="7:7" x14ac:dyDescent="0.3">
      <c r="G4739"/>
    </row>
    <row r="4740" spans="7:7" x14ac:dyDescent="0.3">
      <c r="G4740"/>
    </row>
    <row r="4741" spans="7:7" x14ac:dyDescent="0.3">
      <c r="G4741"/>
    </row>
    <row r="4742" spans="7:7" x14ac:dyDescent="0.3">
      <c r="G4742"/>
    </row>
    <row r="4743" spans="7:7" x14ac:dyDescent="0.3">
      <c r="G4743"/>
    </row>
    <row r="4744" spans="7:7" x14ac:dyDescent="0.3">
      <c r="G4744"/>
    </row>
    <row r="4745" spans="7:7" x14ac:dyDescent="0.3">
      <c r="G4745"/>
    </row>
    <row r="4746" spans="7:7" x14ac:dyDescent="0.3">
      <c r="G4746"/>
    </row>
    <row r="4747" spans="7:7" x14ac:dyDescent="0.3">
      <c r="G4747"/>
    </row>
    <row r="4748" spans="7:7" x14ac:dyDescent="0.3">
      <c r="G4748"/>
    </row>
    <row r="4749" spans="7:7" x14ac:dyDescent="0.3">
      <c r="G4749"/>
    </row>
    <row r="4750" spans="7:7" x14ac:dyDescent="0.3">
      <c r="G4750"/>
    </row>
    <row r="4751" spans="7:7" x14ac:dyDescent="0.3">
      <c r="G4751"/>
    </row>
    <row r="4752" spans="7:7" x14ac:dyDescent="0.3">
      <c r="G4752"/>
    </row>
    <row r="4753" spans="7:7" x14ac:dyDescent="0.3">
      <c r="G4753"/>
    </row>
    <row r="4754" spans="7:7" x14ac:dyDescent="0.3">
      <c r="G4754"/>
    </row>
    <row r="4755" spans="7:7" x14ac:dyDescent="0.3">
      <c r="G4755"/>
    </row>
    <row r="4756" spans="7:7" x14ac:dyDescent="0.3">
      <c r="G4756"/>
    </row>
    <row r="4757" spans="7:7" x14ac:dyDescent="0.3">
      <c r="G4757"/>
    </row>
    <row r="4758" spans="7:7" x14ac:dyDescent="0.3">
      <c r="G4758"/>
    </row>
    <row r="4759" spans="7:7" x14ac:dyDescent="0.3">
      <c r="G4759"/>
    </row>
    <row r="4760" spans="7:7" x14ac:dyDescent="0.3">
      <c r="G4760"/>
    </row>
    <row r="4761" spans="7:7" x14ac:dyDescent="0.3">
      <c r="G4761"/>
    </row>
    <row r="4762" spans="7:7" x14ac:dyDescent="0.3">
      <c r="G4762"/>
    </row>
    <row r="4763" spans="7:7" x14ac:dyDescent="0.3">
      <c r="G4763"/>
    </row>
    <row r="4764" spans="7:7" x14ac:dyDescent="0.3">
      <c r="G4764"/>
    </row>
    <row r="4765" spans="7:7" x14ac:dyDescent="0.3">
      <c r="G4765"/>
    </row>
    <row r="4766" spans="7:7" x14ac:dyDescent="0.3">
      <c r="G4766"/>
    </row>
    <row r="4767" spans="7:7" x14ac:dyDescent="0.3">
      <c r="G4767"/>
    </row>
    <row r="4768" spans="7:7" x14ac:dyDescent="0.3">
      <c r="G4768"/>
    </row>
    <row r="4769" spans="7:7" x14ac:dyDescent="0.3">
      <c r="G4769"/>
    </row>
    <row r="4770" spans="7:7" x14ac:dyDescent="0.3">
      <c r="G4770"/>
    </row>
    <row r="4771" spans="7:7" x14ac:dyDescent="0.3">
      <c r="G4771"/>
    </row>
    <row r="4772" spans="7:7" x14ac:dyDescent="0.3">
      <c r="G4772"/>
    </row>
    <row r="4773" spans="7:7" x14ac:dyDescent="0.3">
      <c r="G4773"/>
    </row>
    <row r="4774" spans="7:7" x14ac:dyDescent="0.3">
      <c r="G4774"/>
    </row>
    <row r="4775" spans="7:7" x14ac:dyDescent="0.3">
      <c r="G4775"/>
    </row>
    <row r="4776" spans="7:7" x14ac:dyDescent="0.3">
      <c r="G4776"/>
    </row>
    <row r="4777" spans="7:7" x14ac:dyDescent="0.3">
      <c r="G4777"/>
    </row>
    <row r="4778" spans="7:7" x14ac:dyDescent="0.3">
      <c r="G4778"/>
    </row>
    <row r="4779" spans="7:7" x14ac:dyDescent="0.3">
      <c r="G4779"/>
    </row>
    <row r="4780" spans="7:7" x14ac:dyDescent="0.3">
      <c r="G4780"/>
    </row>
    <row r="4781" spans="7:7" x14ac:dyDescent="0.3">
      <c r="G4781"/>
    </row>
    <row r="4782" spans="7:7" x14ac:dyDescent="0.3">
      <c r="G4782"/>
    </row>
    <row r="4783" spans="7:7" x14ac:dyDescent="0.3">
      <c r="G4783"/>
    </row>
    <row r="4784" spans="7:7" x14ac:dyDescent="0.3">
      <c r="G4784"/>
    </row>
    <row r="4785" spans="7:7" x14ac:dyDescent="0.3">
      <c r="G4785"/>
    </row>
    <row r="4786" spans="7:7" x14ac:dyDescent="0.3">
      <c r="G4786"/>
    </row>
    <row r="4787" spans="7:7" x14ac:dyDescent="0.3">
      <c r="G4787"/>
    </row>
    <row r="4788" spans="7:7" x14ac:dyDescent="0.3">
      <c r="G4788"/>
    </row>
    <row r="4789" spans="7:7" x14ac:dyDescent="0.3">
      <c r="G4789"/>
    </row>
    <row r="4790" spans="7:7" x14ac:dyDescent="0.3">
      <c r="G4790"/>
    </row>
    <row r="4791" spans="7:7" x14ac:dyDescent="0.3">
      <c r="G4791"/>
    </row>
    <row r="4792" spans="7:7" x14ac:dyDescent="0.3">
      <c r="G4792"/>
    </row>
    <row r="4793" spans="7:7" x14ac:dyDescent="0.3">
      <c r="G4793"/>
    </row>
    <row r="4794" spans="7:7" x14ac:dyDescent="0.3">
      <c r="G4794"/>
    </row>
    <row r="4795" spans="7:7" x14ac:dyDescent="0.3">
      <c r="G4795"/>
    </row>
    <row r="4796" spans="7:7" x14ac:dyDescent="0.3">
      <c r="G4796"/>
    </row>
    <row r="4797" spans="7:7" x14ac:dyDescent="0.3">
      <c r="G4797"/>
    </row>
    <row r="4798" spans="7:7" x14ac:dyDescent="0.3">
      <c r="G4798"/>
    </row>
    <row r="4799" spans="7:7" x14ac:dyDescent="0.3">
      <c r="G4799"/>
    </row>
    <row r="4800" spans="7:7" x14ac:dyDescent="0.3">
      <c r="G4800"/>
    </row>
    <row r="4801" spans="7:7" x14ac:dyDescent="0.3">
      <c r="G4801"/>
    </row>
    <row r="4802" spans="7:7" x14ac:dyDescent="0.3">
      <c r="G4802"/>
    </row>
    <row r="4803" spans="7:7" x14ac:dyDescent="0.3">
      <c r="G4803"/>
    </row>
    <row r="4804" spans="7:7" x14ac:dyDescent="0.3">
      <c r="G4804"/>
    </row>
    <row r="4805" spans="7:7" x14ac:dyDescent="0.3">
      <c r="G4805"/>
    </row>
    <row r="4806" spans="7:7" x14ac:dyDescent="0.3">
      <c r="G4806"/>
    </row>
    <row r="4807" spans="7:7" x14ac:dyDescent="0.3">
      <c r="G4807"/>
    </row>
    <row r="4808" spans="7:7" x14ac:dyDescent="0.3">
      <c r="G4808"/>
    </row>
    <row r="4809" spans="7:7" x14ac:dyDescent="0.3">
      <c r="G4809"/>
    </row>
    <row r="4810" spans="7:7" x14ac:dyDescent="0.3">
      <c r="G4810"/>
    </row>
    <row r="4811" spans="7:7" x14ac:dyDescent="0.3">
      <c r="G4811"/>
    </row>
    <row r="4812" spans="7:7" x14ac:dyDescent="0.3">
      <c r="G4812"/>
    </row>
    <row r="4813" spans="7:7" x14ac:dyDescent="0.3">
      <c r="G4813"/>
    </row>
    <row r="4814" spans="7:7" x14ac:dyDescent="0.3">
      <c r="G4814"/>
    </row>
    <row r="4815" spans="7:7" x14ac:dyDescent="0.3">
      <c r="G4815"/>
    </row>
    <row r="4816" spans="7:7" x14ac:dyDescent="0.3">
      <c r="G4816"/>
    </row>
    <row r="4817" spans="7:7" x14ac:dyDescent="0.3">
      <c r="G4817"/>
    </row>
    <row r="4818" spans="7:7" x14ac:dyDescent="0.3">
      <c r="G4818"/>
    </row>
    <row r="4819" spans="7:7" x14ac:dyDescent="0.3">
      <c r="G4819"/>
    </row>
    <row r="4820" spans="7:7" x14ac:dyDescent="0.3">
      <c r="G4820"/>
    </row>
    <row r="4821" spans="7:7" x14ac:dyDescent="0.3">
      <c r="G4821"/>
    </row>
    <row r="4822" spans="7:7" x14ac:dyDescent="0.3">
      <c r="G4822"/>
    </row>
    <row r="4823" spans="7:7" x14ac:dyDescent="0.3">
      <c r="G4823"/>
    </row>
    <row r="4824" spans="7:7" x14ac:dyDescent="0.3">
      <c r="G4824"/>
    </row>
    <row r="4825" spans="7:7" x14ac:dyDescent="0.3">
      <c r="G4825"/>
    </row>
    <row r="4826" spans="7:7" x14ac:dyDescent="0.3">
      <c r="G4826"/>
    </row>
    <row r="4827" spans="7:7" x14ac:dyDescent="0.3">
      <c r="G4827"/>
    </row>
    <row r="4828" spans="7:7" x14ac:dyDescent="0.3">
      <c r="G4828"/>
    </row>
    <row r="4829" spans="7:7" x14ac:dyDescent="0.3">
      <c r="G4829"/>
    </row>
    <row r="4830" spans="7:7" x14ac:dyDescent="0.3">
      <c r="G4830"/>
    </row>
    <row r="4831" spans="7:7" x14ac:dyDescent="0.3">
      <c r="G4831"/>
    </row>
    <row r="4832" spans="7:7" x14ac:dyDescent="0.3">
      <c r="G4832"/>
    </row>
    <row r="4833" spans="7:7" x14ac:dyDescent="0.3">
      <c r="G4833"/>
    </row>
    <row r="4834" spans="7:7" x14ac:dyDescent="0.3">
      <c r="G4834"/>
    </row>
    <row r="4835" spans="7:7" x14ac:dyDescent="0.3">
      <c r="G4835"/>
    </row>
    <row r="4836" spans="7:7" x14ac:dyDescent="0.3">
      <c r="G4836"/>
    </row>
    <row r="4837" spans="7:7" x14ac:dyDescent="0.3">
      <c r="G4837"/>
    </row>
    <row r="4838" spans="7:7" x14ac:dyDescent="0.3">
      <c r="G4838"/>
    </row>
    <row r="4839" spans="7:7" x14ac:dyDescent="0.3">
      <c r="G4839"/>
    </row>
    <row r="4840" spans="7:7" x14ac:dyDescent="0.3">
      <c r="G4840"/>
    </row>
    <row r="4841" spans="7:7" x14ac:dyDescent="0.3">
      <c r="G4841"/>
    </row>
    <row r="4842" spans="7:7" x14ac:dyDescent="0.3">
      <c r="G4842"/>
    </row>
    <row r="4843" spans="7:7" x14ac:dyDescent="0.3">
      <c r="G4843"/>
    </row>
    <row r="4844" spans="7:7" x14ac:dyDescent="0.3">
      <c r="G4844"/>
    </row>
    <row r="4845" spans="7:7" x14ac:dyDescent="0.3">
      <c r="G4845"/>
    </row>
    <row r="4846" spans="7:7" x14ac:dyDescent="0.3">
      <c r="G4846"/>
    </row>
    <row r="4847" spans="7:7" x14ac:dyDescent="0.3">
      <c r="G4847"/>
    </row>
    <row r="4848" spans="7:7" x14ac:dyDescent="0.3">
      <c r="G4848"/>
    </row>
    <row r="4849" spans="7:7" x14ac:dyDescent="0.3">
      <c r="G4849"/>
    </row>
    <row r="4850" spans="7:7" x14ac:dyDescent="0.3">
      <c r="G4850"/>
    </row>
    <row r="4851" spans="7:7" x14ac:dyDescent="0.3">
      <c r="G4851"/>
    </row>
    <row r="4852" spans="7:7" x14ac:dyDescent="0.3">
      <c r="G4852"/>
    </row>
    <row r="4853" spans="7:7" x14ac:dyDescent="0.3">
      <c r="G4853"/>
    </row>
    <row r="4854" spans="7:7" x14ac:dyDescent="0.3">
      <c r="G4854"/>
    </row>
    <row r="4855" spans="7:7" x14ac:dyDescent="0.3">
      <c r="G4855"/>
    </row>
    <row r="4856" spans="7:7" x14ac:dyDescent="0.3">
      <c r="G4856"/>
    </row>
    <row r="4857" spans="7:7" x14ac:dyDescent="0.3">
      <c r="G4857"/>
    </row>
    <row r="4858" spans="7:7" x14ac:dyDescent="0.3">
      <c r="G4858"/>
    </row>
    <row r="4859" spans="7:7" x14ac:dyDescent="0.3">
      <c r="G4859"/>
    </row>
    <row r="4860" spans="7:7" x14ac:dyDescent="0.3">
      <c r="G4860"/>
    </row>
    <row r="4861" spans="7:7" x14ac:dyDescent="0.3">
      <c r="G4861"/>
    </row>
    <row r="4862" spans="7:7" x14ac:dyDescent="0.3">
      <c r="G4862"/>
    </row>
    <row r="4863" spans="7:7" x14ac:dyDescent="0.3">
      <c r="G4863"/>
    </row>
    <row r="4864" spans="7:7" x14ac:dyDescent="0.3">
      <c r="G4864"/>
    </row>
    <row r="4865" spans="7:7" x14ac:dyDescent="0.3">
      <c r="G4865"/>
    </row>
    <row r="4866" spans="7:7" x14ac:dyDescent="0.3">
      <c r="G4866"/>
    </row>
    <row r="4867" spans="7:7" x14ac:dyDescent="0.3">
      <c r="G4867"/>
    </row>
    <row r="4868" spans="7:7" x14ac:dyDescent="0.3">
      <c r="G4868"/>
    </row>
    <row r="4869" spans="7:7" x14ac:dyDescent="0.3">
      <c r="G4869"/>
    </row>
    <row r="4870" spans="7:7" x14ac:dyDescent="0.3">
      <c r="G4870"/>
    </row>
    <row r="4871" spans="7:7" x14ac:dyDescent="0.3">
      <c r="G4871"/>
    </row>
    <row r="4872" spans="7:7" x14ac:dyDescent="0.3">
      <c r="G4872"/>
    </row>
    <row r="4873" spans="7:7" x14ac:dyDescent="0.3">
      <c r="G4873"/>
    </row>
    <row r="4874" spans="7:7" x14ac:dyDescent="0.3">
      <c r="G4874"/>
    </row>
    <row r="4875" spans="7:7" x14ac:dyDescent="0.3">
      <c r="G4875"/>
    </row>
    <row r="4876" spans="7:7" x14ac:dyDescent="0.3">
      <c r="G4876"/>
    </row>
    <row r="4877" spans="7:7" x14ac:dyDescent="0.3">
      <c r="G4877"/>
    </row>
    <row r="4878" spans="7:7" x14ac:dyDescent="0.3">
      <c r="G4878"/>
    </row>
    <row r="4879" spans="7:7" x14ac:dyDescent="0.3">
      <c r="G4879"/>
    </row>
    <row r="4880" spans="7:7" x14ac:dyDescent="0.3">
      <c r="G4880"/>
    </row>
    <row r="4881" spans="7:7" x14ac:dyDescent="0.3">
      <c r="G4881"/>
    </row>
    <row r="4882" spans="7:7" x14ac:dyDescent="0.3">
      <c r="G4882"/>
    </row>
    <row r="4883" spans="7:7" x14ac:dyDescent="0.3">
      <c r="G4883"/>
    </row>
    <row r="4884" spans="7:7" x14ac:dyDescent="0.3">
      <c r="G4884"/>
    </row>
    <row r="4885" spans="7:7" x14ac:dyDescent="0.3">
      <c r="G4885"/>
    </row>
    <row r="4886" spans="7:7" x14ac:dyDescent="0.3">
      <c r="G4886"/>
    </row>
    <row r="4887" spans="7:7" x14ac:dyDescent="0.3">
      <c r="G4887"/>
    </row>
    <row r="4888" spans="7:7" x14ac:dyDescent="0.3">
      <c r="G4888"/>
    </row>
    <row r="4889" spans="7:7" x14ac:dyDescent="0.3">
      <c r="G4889"/>
    </row>
    <row r="4890" spans="7:7" x14ac:dyDescent="0.3">
      <c r="G4890"/>
    </row>
    <row r="4891" spans="7:7" x14ac:dyDescent="0.3">
      <c r="G4891"/>
    </row>
    <row r="4892" spans="7:7" x14ac:dyDescent="0.3">
      <c r="G4892"/>
    </row>
    <row r="4893" spans="7:7" x14ac:dyDescent="0.3">
      <c r="G4893"/>
    </row>
    <row r="4894" spans="7:7" x14ac:dyDescent="0.3">
      <c r="G4894"/>
    </row>
    <row r="4895" spans="7:7" x14ac:dyDescent="0.3">
      <c r="G4895"/>
    </row>
    <row r="4896" spans="7:7" x14ac:dyDescent="0.3">
      <c r="G4896"/>
    </row>
    <row r="4897" spans="7:7" x14ac:dyDescent="0.3">
      <c r="G4897"/>
    </row>
    <row r="4898" spans="7:7" x14ac:dyDescent="0.3">
      <c r="G4898"/>
    </row>
    <row r="4899" spans="7:7" x14ac:dyDescent="0.3">
      <c r="G4899"/>
    </row>
    <row r="4900" spans="7:7" x14ac:dyDescent="0.3">
      <c r="G4900"/>
    </row>
    <row r="4901" spans="7:7" x14ac:dyDescent="0.3">
      <c r="G4901"/>
    </row>
    <row r="4902" spans="7:7" x14ac:dyDescent="0.3">
      <c r="G4902"/>
    </row>
    <row r="4903" spans="7:7" x14ac:dyDescent="0.3">
      <c r="G4903"/>
    </row>
    <row r="4904" spans="7:7" x14ac:dyDescent="0.3">
      <c r="G4904"/>
    </row>
    <row r="4905" spans="7:7" x14ac:dyDescent="0.3">
      <c r="G4905"/>
    </row>
    <row r="4906" spans="7:7" x14ac:dyDescent="0.3">
      <c r="G4906"/>
    </row>
    <row r="4907" spans="7:7" x14ac:dyDescent="0.3">
      <c r="G4907"/>
    </row>
    <row r="4908" spans="7:7" x14ac:dyDescent="0.3">
      <c r="G4908"/>
    </row>
    <row r="4909" spans="7:7" x14ac:dyDescent="0.3">
      <c r="G4909"/>
    </row>
    <row r="4910" spans="7:7" x14ac:dyDescent="0.3">
      <c r="G4910"/>
    </row>
    <row r="4911" spans="7:7" x14ac:dyDescent="0.3">
      <c r="G4911"/>
    </row>
    <row r="4912" spans="7:7" x14ac:dyDescent="0.3">
      <c r="G4912"/>
    </row>
    <row r="4913" spans="7:7" x14ac:dyDescent="0.3">
      <c r="G4913"/>
    </row>
    <row r="4914" spans="7:7" x14ac:dyDescent="0.3">
      <c r="G4914"/>
    </row>
    <row r="4915" spans="7:7" x14ac:dyDescent="0.3">
      <c r="G4915"/>
    </row>
    <row r="4916" spans="7:7" x14ac:dyDescent="0.3">
      <c r="G4916"/>
    </row>
    <row r="4917" spans="7:7" x14ac:dyDescent="0.3">
      <c r="G4917"/>
    </row>
    <row r="4918" spans="7:7" x14ac:dyDescent="0.3">
      <c r="G4918"/>
    </row>
    <row r="4919" spans="7:7" x14ac:dyDescent="0.3">
      <c r="G4919"/>
    </row>
    <row r="4920" spans="7:7" x14ac:dyDescent="0.3">
      <c r="G4920"/>
    </row>
    <row r="4921" spans="7:7" x14ac:dyDescent="0.3">
      <c r="G4921"/>
    </row>
    <row r="4922" spans="7:7" x14ac:dyDescent="0.3">
      <c r="G4922"/>
    </row>
    <row r="4923" spans="7:7" x14ac:dyDescent="0.3">
      <c r="G4923"/>
    </row>
    <row r="4924" spans="7:7" x14ac:dyDescent="0.3">
      <c r="G4924"/>
    </row>
    <row r="4925" spans="7:7" x14ac:dyDescent="0.3">
      <c r="G4925"/>
    </row>
    <row r="4926" spans="7:7" x14ac:dyDescent="0.3">
      <c r="G4926"/>
    </row>
    <row r="4927" spans="7:7" x14ac:dyDescent="0.3">
      <c r="G4927"/>
    </row>
    <row r="4928" spans="7:7" x14ac:dyDescent="0.3">
      <c r="G4928"/>
    </row>
    <row r="4929" spans="7:7" x14ac:dyDescent="0.3">
      <c r="G4929"/>
    </row>
    <row r="4930" spans="7:7" x14ac:dyDescent="0.3">
      <c r="G4930"/>
    </row>
    <row r="4931" spans="7:7" x14ac:dyDescent="0.3">
      <c r="G4931"/>
    </row>
    <row r="4932" spans="7:7" x14ac:dyDescent="0.3">
      <c r="G4932"/>
    </row>
    <row r="4933" spans="7:7" x14ac:dyDescent="0.3">
      <c r="G4933"/>
    </row>
    <row r="4934" spans="7:7" x14ac:dyDescent="0.3">
      <c r="G4934"/>
    </row>
    <row r="4935" spans="7:7" x14ac:dyDescent="0.3">
      <c r="G4935"/>
    </row>
    <row r="4936" spans="7:7" x14ac:dyDescent="0.3">
      <c r="G4936"/>
    </row>
    <row r="4937" spans="7:7" x14ac:dyDescent="0.3">
      <c r="G4937"/>
    </row>
    <row r="4938" spans="7:7" x14ac:dyDescent="0.3">
      <c r="G4938"/>
    </row>
    <row r="4939" spans="7:7" x14ac:dyDescent="0.3">
      <c r="G4939"/>
    </row>
    <row r="4940" spans="7:7" x14ac:dyDescent="0.3">
      <c r="G4940"/>
    </row>
    <row r="4941" spans="7:7" x14ac:dyDescent="0.3">
      <c r="G4941"/>
    </row>
    <row r="4942" spans="7:7" x14ac:dyDescent="0.3">
      <c r="G4942"/>
    </row>
    <row r="4943" spans="7:7" x14ac:dyDescent="0.3">
      <c r="G4943"/>
    </row>
    <row r="4944" spans="7:7" x14ac:dyDescent="0.3">
      <c r="G4944"/>
    </row>
    <row r="4945" spans="7:7" x14ac:dyDescent="0.3">
      <c r="G4945"/>
    </row>
    <row r="4946" spans="7:7" x14ac:dyDescent="0.3">
      <c r="G4946"/>
    </row>
    <row r="4947" spans="7:7" x14ac:dyDescent="0.3">
      <c r="G4947"/>
    </row>
    <row r="4948" spans="7:7" x14ac:dyDescent="0.3">
      <c r="G4948"/>
    </row>
    <row r="4949" spans="7:7" x14ac:dyDescent="0.3">
      <c r="G4949"/>
    </row>
    <row r="4950" spans="7:7" x14ac:dyDescent="0.3">
      <c r="G4950"/>
    </row>
    <row r="4951" spans="7:7" x14ac:dyDescent="0.3">
      <c r="G4951"/>
    </row>
    <row r="4952" spans="7:7" x14ac:dyDescent="0.3">
      <c r="G4952"/>
    </row>
    <row r="4953" spans="7:7" x14ac:dyDescent="0.3">
      <c r="G4953"/>
    </row>
    <row r="4954" spans="7:7" x14ac:dyDescent="0.3">
      <c r="G4954"/>
    </row>
    <row r="4955" spans="7:7" x14ac:dyDescent="0.3">
      <c r="G4955"/>
    </row>
    <row r="4956" spans="7:7" x14ac:dyDescent="0.3">
      <c r="G4956"/>
    </row>
    <row r="4957" spans="7:7" x14ac:dyDescent="0.3">
      <c r="G4957"/>
    </row>
    <row r="4958" spans="7:7" x14ac:dyDescent="0.3">
      <c r="G4958"/>
    </row>
    <row r="4959" spans="7:7" x14ac:dyDescent="0.3">
      <c r="G4959"/>
    </row>
    <row r="4960" spans="7:7" x14ac:dyDescent="0.3">
      <c r="G4960"/>
    </row>
    <row r="4961" spans="7:7" x14ac:dyDescent="0.3">
      <c r="G4961"/>
    </row>
    <row r="4962" spans="7:7" x14ac:dyDescent="0.3">
      <c r="G4962"/>
    </row>
    <row r="4963" spans="7:7" x14ac:dyDescent="0.3">
      <c r="G4963"/>
    </row>
    <row r="4964" spans="7:7" x14ac:dyDescent="0.3">
      <c r="G4964"/>
    </row>
    <row r="4965" spans="7:7" x14ac:dyDescent="0.3">
      <c r="G4965"/>
    </row>
    <row r="4966" spans="7:7" x14ac:dyDescent="0.3">
      <c r="G4966"/>
    </row>
    <row r="4967" spans="7:7" x14ac:dyDescent="0.3">
      <c r="G4967"/>
    </row>
    <row r="4968" spans="7:7" x14ac:dyDescent="0.3">
      <c r="G4968"/>
    </row>
    <row r="4969" spans="7:7" x14ac:dyDescent="0.3">
      <c r="G4969"/>
    </row>
    <row r="4970" spans="7:7" x14ac:dyDescent="0.3">
      <c r="G4970"/>
    </row>
    <row r="4971" spans="7:7" x14ac:dyDescent="0.3">
      <c r="G4971"/>
    </row>
    <row r="4972" spans="7:7" x14ac:dyDescent="0.3">
      <c r="G4972"/>
    </row>
    <row r="4973" spans="7:7" x14ac:dyDescent="0.3">
      <c r="G4973"/>
    </row>
    <row r="4974" spans="7:7" x14ac:dyDescent="0.3">
      <c r="G4974"/>
    </row>
    <row r="4975" spans="7:7" x14ac:dyDescent="0.3">
      <c r="G4975"/>
    </row>
    <row r="4976" spans="7:7" x14ac:dyDescent="0.3">
      <c r="G4976"/>
    </row>
    <row r="4977" spans="7:7" x14ac:dyDescent="0.3">
      <c r="G4977"/>
    </row>
    <row r="4978" spans="7:7" x14ac:dyDescent="0.3">
      <c r="G4978"/>
    </row>
    <row r="4979" spans="7:7" x14ac:dyDescent="0.3">
      <c r="G4979"/>
    </row>
    <row r="4980" spans="7:7" x14ac:dyDescent="0.3">
      <c r="G4980"/>
    </row>
    <row r="4981" spans="7:7" x14ac:dyDescent="0.3">
      <c r="G4981"/>
    </row>
    <row r="4982" spans="7:7" x14ac:dyDescent="0.3">
      <c r="G4982"/>
    </row>
    <row r="4983" spans="7:7" x14ac:dyDescent="0.3">
      <c r="G4983"/>
    </row>
    <row r="4984" spans="7:7" x14ac:dyDescent="0.3">
      <c r="G4984"/>
    </row>
    <row r="4985" spans="7:7" x14ac:dyDescent="0.3">
      <c r="G4985"/>
    </row>
    <row r="4986" spans="7:7" x14ac:dyDescent="0.3">
      <c r="G4986"/>
    </row>
    <row r="4987" spans="7:7" x14ac:dyDescent="0.3">
      <c r="G4987"/>
    </row>
    <row r="4988" spans="7:7" x14ac:dyDescent="0.3">
      <c r="G4988"/>
    </row>
    <row r="4989" spans="7:7" x14ac:dyDescent="0.3">
      <c r="G4989"/>
    </row>
    <row r="4990" spans="7:7" x14ac:dyDescent="0.3">
      <c r="G4990"/>
    </row>
    <row r="4991" spans="7:7" x14ac:dyDescent="0.3">
      <c r="G4991"/>
    </row>
    <row r="4992" spans="7:7" x14ac:dyDescent="0.3">
      <c r="G4992"/>
    </row>
    <row r="4993" spans="7:7" x14ac:dyDescent="0.3">
      <c r="G4993"/>
    </row>
    <row r="4994" spans="7:7" x14ac:dyDescent="0.3">
      <c r="G4994"/>
    </row>
    <row r="4995" spans="7:7" x14ac:dyDescent="0.3">
      <c r="G4995"/>
    </row>
    <row r="4996" spans="7:7" x14ac:dyDescent="0.3">
      <c r="G4996"/>
    </row>
    <row r="4997" spans="7:7" x14ac:dyDescent="0.3">
      <c r="G4997"/>
    </row>
    <row r="4998" spans="7:7" x14ac:dyDescent="0.3">
      <c r="G4998"/>
    </row>
    <row r="4999" spans="7:7" x14ac:dyDescent="0.3">
      <c r="G4999"/>
    </row>
    <row r="5000" spans="7:7" x14ac:dyDescent="0.3">
      <c r="G5000"/>
    </row>
    <row r="5001" spans="7:7" x14ac:dyDescent="0.3">
      <c r="G5001"/>
    </row>
    <row r="5002" spans="7:7" x14ac:dyDescent="0.3">
      <c r="G5002"/>
    </row>
    <row r="5003" spans="7:7" x14ac:dyDescent="0.3">
      <c r="G5003"/>
    </row>
    <row r="5004" spans="7:7" x14ac:dyDescent="0.3">
      <c r="G5004"/>
    </row>
    <row r="5005" spans="7:7" x14ac:dyDescent="0.3">
      <c r="G5005"/>
    </row>
    <row r="5006" spans="7:7" x14ac:dyDescent="0.3">
      <c r="G5006"/>
    </row>
    <row r="5007" spans="7:7" x14ac:dyDescent="0.3">
      <c r="G5007"/>
    </row>
    <row r="5008" spans="7:7" x14ac:dyDescent="0.3">
      <c r="G5008"/>
    </row>
    <row r="5009" spans="7:7" x14ac:dyDescent="0.3">
      <c r="G5009"/>
    </row>
    <row r="5010" spans="7:7" x14ac:dyDescent="0.3">
      <c r="G5010"/>
    </row>
    <row r="5011" spans="7:7" x14ac:dyDescent="0.3">
      <c r="G5011"/>
    </row>
    <row r="5012" spans="7:7" x14ac:dyDescent="0.3">
      <c r="G5012"/>
    </row>
    <row r="5013" spans="7:7" x14ac:dyDescent="0.3">
      <c r="G5013"/>
    </row>
    <row r="5014" spans="7:7" x14ac:dyDescent="0.3">
      <c r="G5014"/>
    </row>
    <row r="5015" spans="7:7" x14ac:dyDescent="0.3">
      <c r="G5015"/>
    </row>
    <row r="5016" spans="7:7" x14ac:dyDescent="0.3">
      <c r="G5016"/>
    </row>
    <row r="5017" spans="7:7" x14ac:dyDescent="0.3">
      <c r="G5017"/>
    </row>
    <row r="5018" spans="7:7" x14ac:dyDescent="0.3">
      <c r="G5018"/>
    </row>
    <row r="5019" spans="7:7" x14ac:dyDescent="0.3">
      <c r="G5019"/>
    </row>
    <row r="5020" spans="7:7" x14ac:dyDescent="0.3">
      <c r="G5020"/>
    </row>
    <row r="5021" spans="7:7" x14ac:dyDescent="0.3">
      <c r="G5021"/>
    </row>
    <row r="5022" spans="7:7" x14ac:dyDescent="0.3">
      <c r="G5022"/>
    </row>
    <row r="5023" spans="7:7" x14ac:dyDescent="0.3">
      <c r="G5023"/>
    </row>
    <row r="5024" spans="7:7" x14ac:dyDescent="0.3">
      <c r="G5024"/>
    </row>
    <row r="5025" spans="7:7" x14ac:dyDescent="0.3">
      <c r="G5025"/>
    </row>
    <row r="5026" spans="7:7" x14ac:dyDescent="0.3">
      <c r="G5026"/>
    </row>
    <row r="5027" spans="7:7" x14ac:dyDescent="0.3">
      <c r="G5027"/>
    </row>
    <row r="5028" spans="7:7" x14ac:dyDescent="0.3">
      <c r="G5028"/>
    </row>
    <row r="5029" spans="7:7" x14ac:dyDescent="0.3">
      <c r="G5029"/>
    </row>
    <row r="5030" spans="7:7" x14ac:dyDescent="0.3">
      <c r="G5030"/>
    </row>
    <row r="5031" spans="7:7" x14ac:dyDescent="0.3">
      <c r="G5031"/>
    </row>
    <row r="5032" spans="7:7" x14ac:dyDescent="0.3">
      <c r="G5032"/>
    </row>
    <row r="5033" spans="7:7" x14ac:dyDescent="0.3">
      <c r="G5033"/>
    </row>
    <row r="5034" spans="7:7" x14ac:dyDescent="0.3">
      <c r="G5034"/>
    </row>
    <row r="5035" spans="7:7" x14ac:dyDescent="0.3">
      <c r="G5035"/>
    </row>
    <row r="5036" spans="7:7" x14ac:dyDescent="0.3">
      <c r="G5036"/>
    </row>
    <row r="5037" spans="7:7" x14ac:dyDescent="0.3">
      <c r="G5037"/>
    </row>
    <row r="5038" spans="7:7" x14ac:dyDescent="0.3">
      <c r="G5038"/>
    </row>
    <row r="5039" spans="7:7" x14ac:dyDescent="0.3">
      <c r="G5039"/>
    </row>
    <row r="5040" spans="7:7" x14ac:dyDescent="0.3">
      <c r="G5040"/>
    </row>
    <row r="5041" spans="7:7" x14ac:dyDescent="0.3">
      <c r="G5041"/>
    </row>
    <row r="5042" spans="7:7" x14ac:dyDescent="0.3">
      <c r="G5042"/>
    </row>
    <row r="5043" spans="7:7" x14ac:dyDescent="0.3">
      <c r="G5043"/>
    </row>
    <row r="5044" spans="7:7" x14ac:dyDescent="0.3">
      <c r="G5044"/>
    </row>
    <row r="5045" spans="7:7" x14ac:dyDescent="0.3">
      <c r="G5045"/>
    </row>
    <row r="5046" spans="7:7" x14ac:dyDescent="0.3">
      <c r="G5046"/>
    </row>
    <row r="5047" spans="7:7" x14ac:dyDescent="0.3">
      <c r="G5047"/>
    </row>
    <row r="5048" spans="7:7" x14ac:dyDescent="0.3">
      <c r="G5048"/>
    </row>
    <row r="5049" spans="7:7" x14ac:dyDescent="0.3">
      <c r="G5049"/>
    </row>
    <row r="5050" spans="7:7" x14ac:dyDescent="0.3">
      <c r="G5050"/>
    </row>
    <row r="5051" spans="7:7" x14ac:dyDescent="0.3">
      <c r="G5051"/>
    </row>
    <row r="5052" spans="7:7" x14ac:dyDescent="0.3">
      <c r="G5052"/>
    </row>
    <row r="5053" spans="7:7" x14ac:dyDescent="0.3">
      <c r="G5053"/>
    </row>
    <row r="5054" spans="7:7" x14ac:dyDescent="0.3">
      <c r="G5054"/>
    </row>
    <row r="5055" spans="7:7" x14ac:dyDescent="0.3">
      <c r="G5055"/>
    </row>
    <row r="5056" spans="7:7" x14ac:dyDescent="0.3">
      <c r="G5056"/>
    </row>
    <row r="5057" spans="7:7" x14ac:dyDescent="0.3">
      <c r="G5057"/>
    </row>
    <row r="5058" spans="7:7" x14ac:dyDescent="0.3">
      <c r="G5058"/>
    </row>
    <row r="5059" spans="7:7" x14ac:dyDescent="0.3">
      <c r="G5059"/>
    </row>
    <row r="5060" spans="7:7" x14ac:dyDescent="0.3">
      <c r="G5060"/>
    </row>
    <row r="5061" spans="7:7" x14ac:dyDescent="0.3">
      <c r="G5061"/>
    </row>
    <row r="5062" spans="7:7" x14ac:dyDescent="0.3">
      <c r="G5062"/>
    </row>
    <row r="5063" spans="7:7" x14ac:dyDescent="0.3">
      <c r="G5063"/>
    </row>
    <row r="5064" spans="7:7" x14ac:dyDescent="0.3">
      <c r="G5064"/>
    </row>
    <row r="5065" spans="7:7" x14ac:dyDescent="0.3">
      <c r="G5065"/>
    </row>
    <row r="5066" spans="7:7" x14ac:dyDescent="0.3">
      <c r="G5066"/>
    </row>
    <row r="5067" spans="7:7" x14ac:dyDescent="0.3">
      <c r="G5067"/>
    </row>
    <row r="5068" spans="7:7" x14ac:dyDescent="0.3">
      <c r="G5068"/>
    </row>
    <row r="5069" spans="7:7" x14ac:dyDescent="0.3">
      <c r="G5069"/>
    </row>
    <row r="5070" spans="7:7" x14ac:dyDescent="0.3">
      <c r="G5070"/>
    </row>
    <row r="5071" spans="7:7" x14ac:dyDescent="0.3">
      <c r="G5071"/>
    </row>
    <row r="5072" spans="7:7" x14ac:dyDescent="0.3">
      <c r="G5072"/>
    </row>
    <row r="5073" spans="7:7" x14ac:dyDescent="0.3">
      <c r="G5073"/>
    </row>
    <row r="5074" spans="7:7" x14ac:dyDescent="0.3">
      <c r="G5074"/>
    </row>
    <row r="5075" spans="7:7" x14ac:dyDescent="0.3">
      <c r="G5075"/>
    </row>
    <row r="5076" spans="7:7" x14ac:dyDescent="0.3">
      <c r="G5076"/>
    </row>
    <row r="5077" spans="7:7" x14ac:dyDescent="0.3">
      <c r="G5077"/>
    </row>
    <row r="5078" spans="7:7" x14ac:dyDescent="0.3">
      <c r="G5078"/>
    </row>
    <row r="5079" spans="7:7" x14ac:dyDescent="0.3">
      <c r="G5079"/>
    </row>
    <row r="5080" spans="7:7" x14ac:dyDescent="0.3">
      <c r="G5080"/>
    </row>
    <row r="5081" spans="7:7" x14ac:dyDescent="0.3">
      <c r="G5081"/>
    </row>
    <row r="5082" spans="7:7" x14ac:dyDescent="0.3">
      <c r="G5082"/>
    </row>
    <row r="5083" spans="7:7" x14ac:dyDescent="0.3">
      <c r="G5083"/>
    </row>
    <row r="5084" spans="7:7" x14ac:dyDescent="0.3">
      <c r="G5084"/>
    </row>
    <row r="5085" spans="7:7" x14ac:dyDescent="0.3">
      <c r="G5085"/>
    </row>
    <row r="5086" spans="7:7" x14ac:dyDescent="0.3">
      <c r="G5086"/>
    </row>
    <row r="5087" spans="7:7" x14ac:dyDescent="0.3">
      <c r="G5087"/>
    </row>
    <row r="5088" spans="7:7" x14ac:dyDescent="0.3">
      <c r="G5088"/>
    </row>
    <row r="5089" spans="7:7" x14ac:dyDescent="0.3">
      <c r="G5089"/>
    </row>
    <row r="5090" spans="7:7" x14ac:dyDescent="0.3">
      <c r="G5090"/>
    </row>
    <row r="5091" spans="7:7" x14ac:dyDescent="0.3">
      <c r="G5091"/>
    </row>
    <row r="5092" spans="7:7" x14ac:dyDescent="0.3">
      <c r="G5092"/>
    </row>
    <row r="5093" spans="7:7" x14ac:dyDescent="0.3">
      <c r="G5093"/>
    </row>
    <row r="5094" spans="7:7" x14ac:dyDescent="0.3">
      <c r="G5094"/>
    </row>
    <row r="5095" spans="7:7" x14ac:dyDescent="0.3">
      <c r="G5095"/>
    </row>
    <row r="5096" spans="7:7" x14ac:dyDescent="0.3">
      <c r="G5096"/>
    </row>
    <row r="5097" spans="7:7" x14ac:dyDescent="0.3">
      <c r="G5097"/>
    </row>
    <row r="5098" spans="7:7" x14ac:dyDescent="0.3">
      <c r="G5098"/>
    </row>
    <row r="5099" spans="7:7" x14ac:dyDescent="0.3">
      <c r="G5099"/>
    </row>
    <row r="5100" spans="7:7" x14ac:dyDescent="0.3">
      <c r="G5100"/>
    </row>
    <row r="5101" spans="7:7" x14ac:dyDescent="0.3">
      <c r="G5101"/>
    </row>
    <row r="5102" spans="7:7" x14ac:dyDescent="0.3">
      <c r="G5102"/>
    </row>
    <row r="5103" spans="7:7" x14ac:dyDescent="0.3">
      <c r="G5103"/>
    </row>
    <row r="5104" spans="7:7" x14ac:dyDescent="0.3">
      <c r="G5104"/>
    </row>
    <row r="5105" spans="7:7" x14ac:dyDescent="0.3">
      <c r="G5105"/>
    </row>
    <row r="5106" spans="7:7" x14ac:dyDescent="0.3">
      <c r="G5106"/>
    </row>
    <row r="5107" spans="7:7" x14ac:dyDescent="0.3">
      <c r="G5107"/>
    </row>
    <row r="5108" spans="7:7" x14ac:dyDescent="0.3">
      <c r="G5108"/>
    </row>
    <row r="5109" spans="7:7" x14ac:dyDescent="0.3">
      <c r="G5109"/>
    </row>
    <row r="5110" spans="7:7" x14ac:dyDescent="0.3">
      <c r="G5110"/>
    </row>
    <row r="5111" spans="7:7" x14ac:dyDescent="0.3">
      <c r="G5111"/>
    </row>
    <row r="5112" spans="7:7" x14ac:dyDescent="0.3">
      <c r="G5112"/>
    </row>
    <row r="5113" spans="7:7" x14ac:dyDescent="0.3">
      <c r="G5113"/>
    </row>
    <row r="5114" spans="7:7" x14ac:dyDescent="0.3">
      <c r="G5114"/>
    </row>
    <row r="5115" spans="7:7" x14ac:dyDescent="0.3">
      <c r="G5115"/>
    </row>
    <row r="5116" spans="7:7" x14ac:dyDescent="0.3">
      <c r="G5116"/>
    </row>
    <row r="5117" spans="7:7" x14ac:dyDescent="0.3">
      <c r="G5117"/>
    </row>
    <row r="5118" spans="7:7" x14ac:dyDescent="0.3">
      <c r="G5118"/>
    </row>
    <row r="5119" spans="7:7" x14ac:dyDescent="0.3">
      <c r="G5119"/>
    </row>
    <row r="5120" spans="7:7" x14ac:dyDescent="0.3">
      <c r="G5120"/>
    </row>
    <row r="5121" spans="7:7" x14ac:dyDescent="0.3">
      <c r="G5121"/>
    </row>
    <row r="5122" spans="7:7" x14ac:dyDescent="0.3">
      <c r="G5122"/>
    </row>
    <row r="5123" spans="7:7" x14ac:dyDescent="0.3">
      <c r="G5123"/>
    </row>
    <row r="5124" spans="7:7" x14ac:dyDescent="0.3">
      <c r="G5124"/>
    </row>
    <row r="5125" spans="7:7" x14ac:dyDescent="0.3">
      <c r="G5125"/>
    </row>
    <row r="5126" spans="7:7" x14ac:dyDescent="0.3">
      <c r="G5126"/>
    </row>
    <row r="5127" spans="7:7" x14ac:dyDescent="0.3">
      <c r="G5127"/>
    </row>
    <row r="5128" spans="7:7" x14ac:dyDescent="0.3">
      <c r="G5128"/>
    </row>
    <row r="5129" spans="7:7" x14ac:dyDescent="0.3">
      <c r="G5129"/>
    </row>
    <row r="5130" spans="7:7" x14ac:dyDescent="0.3">
      <c r="G5130"/>
    </row>
    <row r="5131" spans="7:7" x14ac:dyDescent="0.3">
      <c r="G5131"/>
    </row>
    <row r="5132" spans="7:7" x14ac:dyDescent="0.3">
      <c r="G5132"/>
    </row>
    <row r="5133" spans="7:7" x14ac:dyDescent="0.3">
      <c r="G5133"/>
    </row>
    <row r="5134" spans="7:7" x14ac:dyDescent="0.3">
      <c r="G5134"/>
    </row>
    <row r="5135" spans="7:7" x14ac:dyDescent="0.3">
      <c r="G5135"/>
    </row>
    <row r="5136" spans="7:7" x14ac:dyDescent="0.3">
      <c r="G5136"/>
    </row>
    <row r="5137" spans="7:7" x14ac:dyDescent="0.3">
      <c r="G5137"/>
    </row>
    <row r="5138" spans="7:7" x14ac:dyDescent="0.3">
      <c r="G5138"/>
    </row>
    <row r="5139" spans="7:7" x14ac:dyDescent="0.3">
      <c r="G5139"/>
    </row>
    <row r="5140" spans="7:7" x14ac:dyDescent="0.3">
      <c r="G5140"/>
    </row>
    <row r="5141" spans="7:7" x14ac:dyDescent="0.3">
      <c r="G5141"/>
    </row>
    <row r="5142" spans="7:7" x14ac:dyDescent="0.3">
      <c r="G5142"/>
    </row>
    <row r="5143" spans="7:7" x14ac:dyDescent="0.3">
      <c r="G5143"/>
    </row>
    <row r="5144" spans="7:7" x14ac:dyDescent="0.3">
      <c r="G5144"/>
    </row>
    <row r="5145" spans="7:7" x14ac:dyDescent="0.3">
      <c r="G5145"/>
    </row>
    <row r="5146" spans="7:7" x14ac:dyDescent="0.3">
      <c r="G5146"/>
    </row>
    <row r="5147" spans="7:7" x14ac:dyDescent="0.3">
      <c r="G5147"/>
    </row>
    <row r="5148" spans="7:7" x14ac:dyDescent="0.3">
      <c r="G5148"/>
    </row>
    <row r="5149" spans="7:7" x14ac:dyDescent="0.3">
      <c r="G5149"/>
    </row>
    <row r="5150" spans="7:7" x14ac:dyDescent="0.3">
      <c r="G5150"/>
    </row>
    <row r="5151" spans="7:7" x14ac:dyDescent="0.3">
      <c r="G5151"/>
    </row>
    <row r="5152" spans="7:7" x14ac:dyDescent="0.3">
      <c r="G5152"/>
    </row>
    <row r="5153" spans="7:7" x14ac:dyDescent="0.3">
      <c r="G5153"/>
    </row>
    <row r="5154" spans="7:7" x14ac:dyDescent="0.3">
      <c r="G5154"/>
    </row>
    <row r="5155" spans="7:7" x14ac:dyDescent="0.3">
      <c r="G5155"/>
    </row>
    <row r="5156" spans="7:7" x14ac:dyDescent="0.3">
      <c r="G5156"/>
    </row>
    <row r="5157" spans="7:7" x14ac:dyDescent="0.3">
      <c r="G5157"/>
    </row>
    <row r="5158" spans="7:7" x14ac:dyDescent="0.3">
      <c r="G5158"/>
    </row>
    <row r="5159" spans="7:7" x14ac:dyDescent="0.3">
      <c r="G5159"/>
    </row>
    <row r="5160" spans="7:7" x14ac:dyDescent="0.3">
      <c r="G5160"/>
    </row>
    <row r="5161" spans="7:7" x14ac:dyDescent="0.3">
      <c r="G5161"/>
    </row>
    <row r="5162" spans="7:7" x14ac:dyDescent="0.3">
      <c r="G5162"/>
    </row>
    <row r="5163" spans="7:7" x14ac:dyDescent="0.3">
      <c r="G5163"/>
    </row>
    <row r="5164" spans="7:7" x14ac:dyDescent="0.3">
      <c r="G5164"/>
    </row>
    <row r="5165" spans="7:7" x14ac:dyDescent="0.3">
      <c r="G5165"/>
    </row>
    <row r="5166" spans="7:7" x14ac:dyDescent="0.3">
      <c r="G5166"/>
    </row>
    <row r="5167" spans="7:7" x14ac:dyDescent="0.3">
      <c r="G5167"/>
    </row>
    <row r="5168" spans="7:7" x14ac:dyDescent="0.3">
      <c r="G5168"/>
    </row>
    <row r="5169" spans="7:7" x14ac:dyDescent="0.3">
      <c r="G5169"/>
    </row>
    <row r="5170" spans="7:7" x14ac:dyDescent="0.3">
      <c r="G5170"/>
    </row>
    <row r="5171" spans="7:7" x14ac:dyDescent="0.3">
      <c r="G5171"/>
    </row>
    <row r="5172" spans="7:7" x14ac:dyDescent="0.3">
      <c r="G5172"/>
    </row>
    <row r="5173" spans="7:7" x14ac:dyDescent="0.3">
      <c r="G5173"/>
    </row>
    <row r="5174" spans="7:7" x14ac:dyDescent="0.3">
      <c r="G5174"/>
    </row>
    <row r="5175" spans="7:7" x14ac:dyDescent="0.3">
      <c r="G5175"/>
    </row>
    <row r="5176" spans="7:7" x14ac:dyDescent="0.3">
      <c r="G5176"/>
    </row>
    <row r="5177" spans="7:7" x14ac:dyDescent="0.3">
      <c r="G5177"/>
    </row>
    <row r="5178" spans="7:7" x14ac:dyDescent="0.3">
      <c r="G5178"/>
    </row>
    <row r="5179" spans="7:7" x14ac:dyDescent="0.3">
      <c r="G5179"/>
    </row>
    <row r="5180" spans="7:7" x14ac:dyDescent="0.3">
      <c r="G5180"/>
    </row>
    <row r="5181" spans="7:7" x14ac:dyDescent="0.3">
      <c r="G5181"/>
    </row>
    <row r="5182" spans="7:7" x14ac:dyDescent="0.3">
      <c r="G5182"/>
    </row>
    <row r="5183" spans="7:7" x14ac:dyDescent="0.3">
      <c r="G5183"/>
    </row>
    <row r="5184" spans="7:7" x14ac:dyDescent="0.3">
      <c r="G5184"/>
    </row>
    <row r="5185" spans="7:7" x14ac:dyDescent="0.3">
      <c r="G5185"/>
    </row>
    <row r="5186" spans="7:7" x14ac:dyDescent="0.3">
      <c r="G5186"/>
    </row>
    <row r="5187" spans="7:7" x14ac:dyDescent="0.3">
      <c r="G5187"/>
    </row>
    <row r="5188" spans="7:7" x14ac:dyDescent="0.3">
      <c r="G5188"/>
    </row>
    <row r="5189" spans="7:7" x14ac:dyDescent="0.3">
      <c r="G5189"/>
    </row>
    <row r="5190" spans="7:7" x14ac:dyDescent="0.3">
      <c r="G5190"/>
    </row>
    <row r="5191" spans="7:7" x14ac:dyDescent="0.3">
      <c r="G5191"/>
    </row>
    <row r="5192" spans="7:7" x14ac:dyDescent="0.3">
      <c r="G5192"/>
    </row>
    <row r="5193" spans="7:7" x14ac:dyDescent="0.3">
      <c r="G5193"/>
    </row>
    <row r="5194" spans="7:7" x14ac:dyDescent="0.3">
      <c r="G5194"/>
    </row>
    <row r="5195" spans="7:7" x14ac:dyDescent="0.3">
      <c r="G5195"/>
    </row>
    <row r="5196" spans="7:7" x14ac:dyDescent="0.3">
      <c r="G5196"/>
    </row>
    <row r="5197" spans="7:7" x14ac:dyDescent="0.3">
      <c r="G5197"/>
    </row>
    <row r="5198" spans="7:7" x14ac:dyDescent="0.3">
      <c r="G5198"/>
    </row>
    <row r="5199" spans="7:7" x14ac:dyDescent="0.3">
      <c r="G5199"/>
    </row>
    <row r="5200" spans="7:7" x14ac:dyDescent="0.3">
      <c r="G5200"/>
    </row>
    <row r="5201" spans="7:7" x14ac:dyDescent="0.3">
      <c r="G5201"/>
    </row>
    <row r="5202" spans="7:7" x14ac:dyDescent="0.3">
      <c r="G5202"/>
    </row>
    <row r="5203" spans="7:7" x14ac:dyDescent="0.3">
      <c r="G5203"/>
    </row>
    <row r="5204" spans="7:7" x14ac:dyDescent="0.3">
      <c r="G5204"/>
    </row>
    <row r="5205" spans="7:7" x14ac:dyDescent="0.3">
      <c r="G5205"/>
    </row>
    <row r="5206" spans="7:7" x14ac:dyDescent="0.3">
      <c r="G5206"/>
    </row>
    <row r="5207" spans="7:7" x14ac:dyDescent="0.3">
      <c r="G5207"/>
    </row>
    <row r="5208" spans="7:7" x14ac:dyDescent="0.3">
      <c r="G5208"/>
    </row>
    <row r="5209" spans="7:7" x14ac:dyDescent="0.3">
      <c r="G5209"/>
    </row>
    <row r="5210" spans="7:7" x14ac:dyDescent="0.3">
      <c r="G5210"/>
    </row>
    <row r="5211" spans="7:7" x14ac:dyDescent="0.3">
      <c r="G5211"/>
    </row>
    <row r="5212" spans="7:7" x14ac:dyDescent="0.3">
      <c r="G5212"/>
    </row>
    <row r="5213" spans="7:7" x14ac:dyDescent="0.3">
      <c r="G5213"/>
    </row>
    <row r="5214" spans="7:7" x14ac:dyDescent="0.3">
      <c r="G5214"/>
    </row>
    <row r="5215" spans="7:7" x14ac:dyDescent="0.3">
      <c r="G5215"/>
    </row>
    <row r="5216" spans="7:7" x14ac:dyDescent="0.3">
      <c r="G5216"/>
    </row>
    <row r="5217" spans="7:7" x14ac:dyDescent="0.3">
      <c r="G5217"/>
    </row>
    <row r="5218" spans="7:7" x14ac:dyDescent="0.3">
      <c r="G5218"/>
    </row>
    <row r="5219" spans="7:7" x14ac:dyDescent="0.3">
      <c r="G5219"/>
    </row>
    <row r="5220" spans="7:7" x14ac:dyDescent="0.3">
      <c r="G5220"/>
    </row>
    <row r="5221" spans="7:7" x14ac:dyDescent="0.3">
      <c r="G5221"/>
    </row>
    <row r="5222" spans="7:7" x14ac:dyDescent="0.3">
      <c r="G5222"/>
    </row>
    <row r="5223" spans="7:7" x14ac:dyDescent="0.3">
      <c r="G5223"/>
    </row>
    <row r="5224" spans="7:7" x14ac:dyDescent="0.3">
      <c r="G5224"/>
    </row>
    <row r="5225" spans="7:7" x14ac:dyDescent="0.3">
      <c r="G5225"/>
    </row>
    <row r="5226" spans="7:7" x14ac:dyDescent="0.3">
      <c r="G5226"/>
    </row>
    <row r="5227" spans="7:7" x14ac:dyDescent="0.3">
      <c r="G5227"/>
    </row>
    <row r="5228" spans="7:7" x14ac:dyDescent="0.3">
      <c r="G5228"/>
    </row>
    <row r="5229" spans="7:7" x14ac:dyDescent="0.3">
      <c r="G5229"/>
    </row>
    <row r="5230" spans="7:7" x14ac:dyDescent="0.3">
      <c r="G5230"/>
    </row>
    <row r="5231" spans="7:7" x14ac:dyDescent="0.3">
      <c r="G5231"/>
    </row>
    <row r="5232" spans="7:7" x14ac:dyDescent="0.3">
      <c r="G5232"/>
    </row>
    <row r="5233" spans="7:7" x14ac:dyDescent="0.3">
      <c r="G5233"/>
    </row>
    <row r="5234" spans="7:7" x14ac:dyDescent="0.3">
      <c r="G5234"/>
    </row>
    <row r="5235" spans="7:7" x14ac:dyDescent="0.3">
      <c r="G5235"/>
    </row>
    <row r="5236" spans="7:7" x14ac:dyDescent="0.3">
      <c r="G5236"/>
    </row>
    <row r="5237" spans="7:7" x14ac:dyDescent="0.3">
      <c r="G5237"/>
    </row>
    <row r="5238" spans="7:7" x14ac:dyDescent="0.3">
      <c r="G5238"/>
    </row>
    <row r="5239" spans="7:7" x14ac:dyDescent="0.3">
      <c r="G5239"/>
    </row>
    <row r="5240" spans="7:7" x14ac:dyDescent="0.3">
      <c r="G5240"/>
    </row>
    <row r="5241" spans="7:7" x14ac:dyDescent="0.3">
      <c r="G5241"/>
    </row>
    <row r="5242" spans="7:7" x14ac:dyDescent="0.3">
      <c r="G5242"/>
    </row>
    <row r="5243" spans="7:7" x14ac:dyDescent="0.3">
      <c r="G5243"/>
    </row>
    <row r="5244" spans="7:7" x14ac:dyDescent="0.3">
      <c r="G5244"/>
    </row>
    <row r="5245" spans="7:7" x14ac:dyDescent="0.3">
      <c r="G5245"/>
    </row>
    <row r="5246" spans="7:7" x14ac:dyDescent="0.3">
      <c r="G5246"/>
    </row>
    <row r="5247" spans="7:7" x14ac:dyDescent="0.3">
      <c r="G5247"/>
    </row>
    <row r="5248" spans="7:7" x14ac:dyDescent="0.3">
      <c r="G5248"/>
    </row>
    <row r="5249" spans="7:7" x14ac:dyDescent="0.3">
      <c r="G5249"/>
    </row>
    <row r="5250" spans="7:7" x14ac:dyDescent="0.3">
      <c r="G5250"/>
    </row>
    <row r="5251" spans="7:7" x14ac:dyDescent="0.3">
      <c r="G5251"/>
    </row>
    <row r="5252" spans="7:7" x14ac:dyDescent="0.3">
      <c r="G5252"/>
    </row>
    <row r="5253" spans="7:7" x14ac:dyDescent="0.3">
      <c r="G5253"/>
    </row>
    <row r="5254" spans="7:7" x14ac:dyDescent="0.3">
      <c r="G5254"/>
    </row>
    <row r="5255" spans="7:7" x14ac:dyDescent="0.3">
      <c r="G5255"/>
    </row>
    <row r="5256" spans="7:7" x14ac:dyDescent="0.3">
      <c r="G5256"/>
    </row>
    <row r="5257" spans="7:7" x14ac:dyDescent="0.3">
      <c r="G5257"/>
    </row>
    <row r="5258" spans="7:7" x14ac:dyDescent="0.3">
      <c r="G5258"/>
    </row>
    <row r="5259" spans="7:7" x14ac:dyDescent="0.3">
      <c r="G5259"/>
    </row>
    <row r="5260" spans="7:7" x14ac:dyDescent="0.3">
      <c r="G5260"/>
    </row>
    <row r="5261" spans="7:7" x14ac:dyDescent="0.3">
      <c r="G5261"/>
    </row>
    <row r="5262" spans="7:7" x14ac:dyDescent="0.3">
      <c r="G5262"/>
    </row>
    <row r="5263" spans="7:7" x14ac:dyDescent="0.3">
      <c r="G5263"/>
    </row>
    <row r="5264" spans="7:7" x14ac:dyDescent="0.3">
      <c r="G5264"/>
    </row>
    <row r="5265" spans="7:7" x14ac:dyDescent="0.3">
      <c r="G5265"/>
    </row>
    <row r="5266" spans="7:7" x14ac:dyDescent="0.3">
      <c r="G5266"/>
    </row>
    <row r="5267" spans="7:7" x14ac:dyDescent="0.3">
      <c r="G5267"/>
    </row>
    <row r="5268" spans="7:7" x14ac:dyDescent="0.3">
      <c r="G5268"/>
    </row>
    <row r="5269" spans="7:7" x14ac:dyDescent="0.3">
      <c r="G5269"/>
    </row>
    <row r="5270" spans="7:7" x14ac:dyDescent="0.3">
      <c r="G5270"/>
    </row>
    <row r="5271" spans="7:7" x14ac:dyDescent="0.3">
      <c r="G5271"/>
    </row>
    <row r="5272" spans="7:7" x14ac:dyDescent="0.3">
      <c r="G5272"/>
    </row>
    <row r="5273" spans="7:7" x14ac:dyDescent="0.3">
      <c r="G5273"/>
    </row>
    <row r="5274" spans="7:7" x14ac:dyDescent="0.3">
      <c r="G5274"/>
    </row>
    <row r="5275" spans="7:7" x14ac:dyDescent="0.3">
      <c r="G5275"/>
    </row>
    <row r="5276" spans="7:7" x14ac:dyDescent="0.3">
      <c r="G5276"/>
    </row>
    <row r="5277" spans="7:7" x14ac:dyDescent="0.3">
      <c r="G5277"/>
    </row>
    <row r="5278" spans="7:7" x14ac:dyDescent="0.3">
      <c r="G5278"/>
    </row>
    <row r="5279" spans="7:7" x14ac:dyDescent="0.3">
      <c r="G5279"/>
    </row>
    <row r="5280" spans="7:7" x14ac:dyDescent="0.3">
      <c r="G5280"/>
    </row>
    <row r="5281" spans="7:7" x14ac:dyDescent="0.3">
      <c r="G5281"/>
    </row>
    <row r="5282" spans="7:7" x14ac:dyDescent="0.3">
      <c r="G5282"/>
    </row>
    <row r="5283" spans="7:7" x14ac:dyDescent="0.3">
      <c r="G5283"/>
    </row>
    <row r="5284" spans="7:7" x14ac:dyDescent="0.3">
      <c r="G5284"/>
    </row>
    <row r="5285" spans="7:7" x14ac:dyDescent="0.3">
      <c r="G5285"/>
    </row>
    <row r="5286" spans="7:7" x14ac:dyDescent="0.3">
      <c r="G5286"/>
    </row>
    <row r="5287" spans="7:7" x14ac:dyDescent="0.3">
      <c r="G5287"/>
    </row>
    <row r="5288" spans="7:7" x14ac:dyDescent="0.3">
      <c r="G5288"/>
    </row>
    <row r="5289" spans="7:7" x14ac:dyDescent="0.3">
      <c r="G5289"/>
    </row>
    <row r="5290" spans="7:7" x14ac:dyDescent="0.3">
      <c r="G5290"/>
    </row>
    <row r="5291" spans="7:7" x14ac:dyDescent="0.3">
      <c r="G5291"/>
    </row>
    <row r="5292" spans="7:7" x14ac:dyDescent="0.3">
      <c r="G5292"/>
    </row>
    <row r="5293" spans="7:7" x14ac:dyDescent="0.3">
      <c r="G5293"/>
    </row>
    <row r="5294" spans="7:7" x14ac:dyDescent="0.3">
      <c r="G5294"/>
    </row>
    <row r="5295" spans="7:7" x14ac:dyDescent="0.3">
      <c r="G5295"/>
    </row>
    <row r="5296" spans="7:7" x14ac:dyDescent="0.3">
      <c r="G5296"/>
    </row>
    <row r="5297" spans="7:7" x14ac:dyDescent="0.3">
      <c r="G5297"/>
    </row>
    <row r="5298" spans="7:7" x14ac:dyDescent="0.3">
      <c r="G5298"/>
    </row>
    <row r="5299" spans="7:7" x14ac:dyDescent="0.3">
      <c r="G5299"/>
    </row>
    <row r="5300" spans="7:7" x14ac:dyDescent="0.3">
      <c r="G5300"/>
    </row>
    <row r="5301" spans="7:7" x14ac:dyDescent="0.3">
      <c r="G5301"/>
    </row>
    <row r="5302" spans="7:7" x14ac:dyDescent="0.3">
      <c r="G5302"/>
    </row>
    <row r="5303" spans="7:7" x14ac:dyDescent="0.3">
      <c r="G5303"/>
    </row>
    <row r="5304" spans="7:7" x14ac:dyDescent="0.3">
      <c r="G5304"/>
    </row>
    <row r="5305" spans="7:7" x14ac:dyDescent="0.3">
      <c r="G5305"/>
    </row>
    <row r="5306" spans="7:7" x14ac:dyDescent="0.3">
      <c r="G5306"/>
    </row>
    <row r="5307" spans="7:7" x14ac:dyDescent="0.3">
      <c r="G5307"/>
    </row>
    <row r="5308" spans="7:7" x14ac:dyDescent="0.3">
      <c r="G5308"/>
    </row>
    <row r="5309" spans="7:7" x14ac:dyDescent="0.3">
      <c r="G5309"/>
    </row>
    <row r="5310" spans="7:7" x14ac:dyDescent="0.3">
      <c r="G5310"/>
    </row>
    <row r="5311" spans="7:7" x14ac:dyDescent="0.3">
      <c r="G5311"/>
    </row>
    <row r="5312" spans="7:7" x14ac:dyDescent="0.3">
      <c r="G5312"/>
    </row>
    <row r="5313" spans="7:7" x14ac:dyDescent="0.3">
      <c r="G5313"/>
    </row>
    <row r="5314" spans="7:7" x14ac:dyDescent="0.3">
      <c r="G5314"/>
    </row>
    <row r="5315" spans="7:7" x14ac:dyDescent="0.3">
      <c r="G5315"/>
    </row>
    <row r="5316" spans="7:7" x14ac:dyDescent="0.3">
      <c r="G5316"/>
    </row>
    <row r="5317" spans="7:7" x14ac:dyDescent="0.3">
      <c r="G5317"/>
    </row>
    <row r="5318" spans="7:7" x14ac:dyDescent="0.3">
      <c r="G5318"/>
    </row>
    <row r="5319" spans="7:7" x14ac:dyDescent="0.3">
      <c r="G5319"/>
    </row>
    <row r="5320" spans="7:7" x14ac:dyDescent="0.3">
      <c r="G5320"/>
    </row>
    <row r="5321" spans="7:7" x14ac:dyDescent="0.3">
      <c r="G5321"/>
    </row>
    <row r="5322" spans="7:7" x14ac:dyDescent="0.3">
      <c r="G5322"/>
    </row>
    <row r="5323" spans="7:7" x14ac:dyDescent="0.3">
      <c r="G5323"/>
    </row>
    <row r="5324" spans="7:7" x14ac:dyDescent="0.3">
      <c r="G5324"/>
    </row>
    <row r="5325" spans="7:7" x14ac:dyDescent="0.3">
      <c r="G5325"/>
    </row>
    <row r="5326" spans="7:7" x14ac:dyDescent="0.3">
      <c r="G5326"/>
    </row>
    <row r="5327" spans="7:7" x14ac:dyDescent="0.3">
      <c r="G5327"/>
    </row>
    <row r="5328" spans="7:7" x14ac:dyDescent="0.3">
      <c r="G5328"/>
    </row>
    <row r="5329" spans="7:7" x14ac:dyDescent="0.3">
      <c r="G5329"/>
    </row>
    <row r="5330" spans="7:7" x14ac:dyDescent="0.3">
      <c r="G5330"/>
    </row>
    <row r="5331" spans="7:7" x14ac:dyDescent="0.3">
      <c r="G5331"/>
    </row>
    <row r="5332" spans="7:7" x14ac:dyDescent="0.3">
      <c r="G5332"/>
    </row>
    <row r="5333" spans="7:7" x14ac:dyDescent="0.3">
      <c r="G5333"/>
    </row>
    <row r="5334" spans="7:7" x14ac:dyDescent="0.3">
      <c r="G5334"/>
    </row>
    <row r="5335" spans="7:7" x14ac:dyDescent="0.3">
      <c r="G5335"/>
    </row>
    <row r="5336" spans="7:7" x14ac:dyDescent="0.3">
      <c r="G5336"/>
    </row>
    <row r="5337" spans="7:7" x14ac:dyDescent="0.3">
      <c r="G5337"/>
    </row>
    <row r="5338" spans="7:7" x14ac:dyDescent="0.3">
      <c r="G5338"/>
    </row>
    <row r="5339" spans="7:7" x14ac:dyDescent="0.3">
      <c r="G5339"/>
    </row>
    <row r="5340" spans="7:7" x14ac:dyDescent="0.3">
      <c r="G5340"/>
    </row>
    <row r="5341" spans="7:7" x14ac:dyDescent="0.3">
      <c r="G5341"/>
    </row>
    <row r="5342" spans="7:7" x14ac:dyDescent="0.3">
      <c r="G5342"/>
    </row>
    <row r="5343" spans="7:7" x14ac:dyDescent="0.3">
      <c r="G5343"/>
    </row>
    <row r="5344" spans="7:7" x14ac:dyDescent="0.3">
      <c r="G5344"/>
    </row>
    <row r="5345" spans="7:7" x14ac:dyDescent="0.3">
      <c r="G5345"/>
    </row>
    <row r="5346" spans="7:7" x14ac:dyDescent="0.3">
      <c r="G5346"/>
    </row>
    <row r="5347" spans="7:7" x14ac:dyDescent="0.3">
      <c r="G5347"/>
    </row>
    <row r="5348" spans="7:7" x14ac:dyDescent="0.3">
      <c r="G5348"/>
    </row>
    <row r="5349" spans="7:7" x14ac:dyDescent="0.3">
      <c r="G5349"/>
    </row>
    <row r="5350" spans="7:7" x14ac:dyDescent="0.3">
      <c r="G5350"/>
    </row>
    <row r="5351" spans="7:7" x14ac:dyDescent="0.3">
      <c r="G5351"/>
    </row>
    <row r="5352" spans="7:7" x14ac:dyDescent="0.3">
      <c r="G5352"/>
    </row>
    <row r="5353" spans="7:7" x14ac:dyDescent="0.3">
      <c r="G5353"/>
    </row>
    <row r="5354" spans="7:7" x14ac:dyDescent="0.3">
      <c r="G5354"/>
    </row>
    <row r="5355" spans="7:7" x14ac:dyDescent="0.3">
      <c r="G5355"/>
    </row>
    <row r="5356" spans="7:7" x14ac:dyDescent="0.3">
      <c r="G5356"/>
    </row>
    <row r="5357" spans="7:7" x14ac:dyDescent="0.3">
      <c r="G5357"/>
    </row>
    <row r="5358" spans="7:7" x14ac:dyDescent="0.3">
      <c r="G5358"/>
    </row>
    <row r="5359" spans="7:7" x14ac:dyDescent="0.3">
      <c r="G5359"/>
    </row>
    <row r="5360" spans="7:7" x14ac:dyDescent="0.3">
      <c r="G5360"/>
    </row>
    <row r="5361" spans="7:7" x14ac:dyDescent="0.3">
      <c r="G5361"/>
    </row>
    <row r="5362" spans="7:7" x14ac:dyDescent="0.3">
      <c r="G5362"/>
    </row>
    <row r="5363" spans="7:7" x14ac:dyDescent="0.3">
      <c r="G5363"/>
    </row>
    <row r="5364" spans="7:7" x14ac:dyDescent="0.3">
      <c r="G5364"/>
    </row>
    <row r="5365" spans="7:7" x14ac:dyDescent="0.3">
      <c r="G5365"/>
    </row>
    <row r="5366" spans="7:7" x14ac:dyDescent="0.3">
      <c r="G5366"/>
    </row>
    <row r="5367" spans="7:7" x14ac:dyDescent="0.3">
      <c r="G5367"/>
    </row>
    <row r="5368" spans="7:7" x14ac:dyDescent="0.3">
      <c r="G5368"/>
    </row>
    <row r="5369" spans="7:7" x14ac:dyDescent="0.3">
      <c r="G5369"/>
    </row>
    <row r="5370" spans="7:7" x14ac:dyDescent="0.3">
      <c r="G5370"/>
    </row>
    <row r="5371" spans="7:7" x14ac:dyDescent="0.3">
      <c r="G5371"/>
    </row>
    <row r="5372" spans="7:7" x14ac:dyDescent="0.3">
      <c r="G5372"/>
    </row>
    <row r="5373" spans="7:7" x14ac:dyDescent="0.3">
      <c r="G5373"/>
    </row>
    <row r="5374" spans="7:7" x14ac:dyDescent="0.3">
      <c r="G5374"/>
    </row>
    <row r="5375" spans="7:7" x14ac:dyDescent="0.3">
      <c r="G5375"/>
    </row>
    <row r="5376" spans="7:7" x14ac:dyDescent="0.3">
      <c r="G5376"/>
    </row>
    <row r="5377" spans="7:7" x14ac:dyDescent="0.3">
      <c r="G5377"/>
    </row>
    <row r="5378" spans="7:7" x14ac:dyDescent="0.3">
      <c r="G5378"/>
    </row>
    <row r="5379" spans="7:7" x14ac:dyDescent="0.3">
      <c r="G5379"/>
    </row>
    <row r="5380" spans="7:7" x14ac:dyDescent="0.3">
      <c r="G5380"/>
    </row>
    <row r="5381" spans="7:7" x14ac:dyDescent="0.3">
      <c r="G5381"/>
    </row>
    <row r="5382" spans="7:7" x14ac:dyDescent="0.3">
      <c r="G5382"/>
    </row>
    <row r="5383" spans="7:7" x14ac:dyDescent="0.3">
      <c r="G5383"/>
    </row>
    <row r="5384" spans="7:7" x14ac:dyDescent="0.3">
      <c r="G5384"/>
    </row>
    <row r="5385" spans="7:7" x14ac:dyDescent="0.3">
      <c r="G5385"/>
    </row>
    <row r="5386" spans="7:7" x14ac:dyDescent="0.3">
      <c r="G5386"/>
    </row>
    <row r="5387" spans="7:7" x14ac:dyDescent="0.3">
      <c r="G5387"/>
    </row>
    <row r="5388" spans="7:7" x14ac:dyDescent="0.3">
      <c r="G5388"/>
    </row>
    <row r="5389" spans="7:7" x14ac:dyDescent="0.3">
      <c r="G5389"/>
    </row>
    <row r="5390" spans="7:7" x14ac:dyDescent="0.3">
      <c r="G5390"/>
    </row>
    <row r="5391" spans="7:7" x14ac:dyDescent="0.3">
      <c r="G5391"/>
    </row>
    <row r="5392" spans="7:7" x14ac:dyDescent="0.3">
      <c r="G5392"/>
    </row>
    <row r="5393" spans="7:7" x14ac:dyDescent="0.3">
      <c r="G5393"/>
    </row>
    <row r="5394" spans="7:7" x14ac:dyDescent="0.3">
      <c r="G5394"/>
    </row>
    <row r="5395" spans="7:7" x14ac:dyDescent="0.3">
      <c r="G5395"/>
    </row>
    <row r="5396" spans="7:7" x14ac:dyDescent="0.3">
      <c r="G5396"/>
    </row>
    <row r="5397" spans="7:7" x14ac:dyDescent="0.3">
      <c r="G5397"/>
    </row>
    <row r="5398" spans="7:7" x14ac:dyDescent="0.3">
      <c r="G5398"/>
    </row>
    <row r="5399" spans="7:7" x14ac:dyDescent="0.3">
      <c r="G5399"/>
    </row>
    <row r="5400" spans="7:7" x14ac:dyDescent="0.3">
      <c r="G5400"/>
    </row>
    <row r="5401" spans="7:7" x14ac:dyDescent="0.3">
      <c r="G5401"/>
    </row>
    <row r="5402" spans="7:7" x14ac:dyDescent="0.3">
      <c r="G5402"/>
    </row>
    <row r="5403" spans="7:7" x14ac:dyDescent="0.3">
      <c r="G5403"/>
    </row>
    <row r="5404" spans="7:7" x14ac:dyDescent="0.3">
      <c r="G5404"/>
    </row>
    <row r="5405" spans="7:7" x14ac:dyDescent="0.3">
      <c r="G5405"/>
    </row>
    <row r="5406" spans="7:7" x14ac:dyDescent="0.3">
      <c r="G5406"/>
    </row>
    <row r="5407" spans="7:7" x14ac:dyDescent="0.3">
      <c r="G5407"/>
    </row>
    <row r="5408" spans="7:7" x14ac:dyDescent="0.3">
      <c r="G5408"/>
    </row>
    <row r="5409" spans="7:7" x14ac:dyDescent="0.3">
      <c r="G5409"/>
    </row>
    <row r="5410" spans="7:7" x14ac:dyDescent="0.3">
      <c r="G5410"/>
    </row>
    <row r="5411" spans="7:7" x14ac:dyDescent="0.3">
      <c r="G5411"/>
    </row>
    <row r="5412" spans="7:7" x14ac:dyDescent="0.3">
      <c r="G5412"/>
    </row>
    <row r="5413" spans="7:7" x14ac:dyDescent="0.3">
      <c r="G5413"/>
    </row>
    <row r="5414" spans="7:7" x14ac:dyDescent="0.3">
      <c r="G5414"/>
    </row>
    <row r="5415" spans="7:7" x14ac:dyDescent="0.3">
      <c r="G5415"/>
    </row>
    <row r="5416" spans="7:7" x14ac:dyDescent="0.3">
      <c r="G5416"/>
    </row>
    <row r="5417" spans="7:7" x14ac:dyDescent="0.3">
      <c r="G5417"/>
    </row>
    <row r="5418" spans="7:7" x14ac:dyDescent="0.3">
      <c r="G5418"/>
    </row>
    <row r="5419" spans="7:7" x14ac:dyDescent="0.3">
      <c r="G5419"/>
    </row>
    <row r="5420" spans="7:7" x14ac:dyDescent="0.3">
      <c r="G5420"/>
    </row>
    <row r="5421" spans="7:7" x14ac:dyDescent="0.3">
      <c r="G5421"/>
    </row>
    <row r="5422" spans="7:7" x14ac:dyDescent="0.3">
      <c r="G5422"/>
    </row>
    <row r="5423" spans="7:7" x14ac:dyDescent="0.3">
      <c r="G5423"/>
    </row>
    <row r="5424" spans="7:7" x14ac:dyDescent="0.3">
      <c r="G5424"/>
    </row>
    <row r="5425" spans="7:7" x14ac:dyDescent="0.3">
      <c r="G5425"/>
    </row>
    <row r="5426" spans="7:7" x14ac:dyDescent="0.3">
      <c r="G5426"/>
    </row>
    <row r="5427" spans="7:7" x14ac:dyDescent="0.3">
      <c r="G5427"/>
    </row>
    <row r="5428" spans="7:7" x14ac:dyDescent="0.3">
      <c r="G5428"/>
    </row>
    <row r="5429" spans="7:7" x14ac:dyDescent="0.3">
      <c r="G5429"/>
    </row>
    <row r="5430" spans="7:7" x14ac:dyDescent="0.3">
      <c r="G5430"/>
    </row>
    <row r="5431" spans="7:7" x14ac:dyDescent="0.3">
      <c r="G5431"/>
    </row>
    <row r="5432" spans="7:7" x14ac:dyDescent="0.3">
      <c r="G5432"/>
    </row>
    <row r="5433" spans="7:7" x14ac:dyDescent="0.3">
      <c r="G5433"/>
    </row>
    <row r="5434" spans="7:7" x14ac:dyDescent="0.3">
      <c r="G5434"/>
    </row>
    <row r="5435" spans="7:7" x14ac:dyDescent="0.3">
      <c r="G5435"/>
    </row>
    <row r="5436" spans="7:7" x14ac:dyDescent="0.3">
      <c r="G5436"/>
    </row>
    <row r="5437" spans="7:7" x14ac:dyDescent="0.3">
      <c r="G5437"/>
    </row>
    <row r="5438" spans="7:7" x14ac:dyDescent="0.3">
      <c r="G5438"/>
    </row>
    <row r="5439" spans="7:7" x14ac:dyDescent="0.3">
      <c r="G5439"/>
    </row>
    <row r="5440" spans="7:7" x14ac:dyDescent="0.3">
      <c r="G5440"/>
    </row>
    <row r="5441" spans="7:7" x14ac:dyDescent="0.3">
      <c r="G5441"/>
    </row>
    <row r="5442" spans="7:7" x14ac:dyDescent="0.3">
      <c r="G5442"/>
    </row>
    <row r="5443" spans="7:7" x14ac:dyDescent="0.3">
      <c r="G5443"/>
    </row>
    <row r="5444" spans="7:7" x14ac:dyDescent="0.3">
      <c r="G5444"/>
    </row>
    <row r="5445" spans="7:7" x14ac:dyDescent="0.3">
      <c r="G5445"/>
    </row>
    <row r="5446" spans="7:7" x14ac:dyDescent="0.3">
      <c r="G5446"/>
    </row>
    <row r="5447" spans="7:7" x14ac:dyDescent="0.3">
      <c r="G5447"/>
    </row>
    <row r="5448" spans="7:7" x14ac:dyDescent="0.3">
      <c r="G5448"/>
    </row>
    <row r="5449" spans="7:7" x14ac:dyDescent="0.3">
      <c r="G5449"/>
    </row>
    <row r="5450" spans="7:7" x14ac:dyDescent="0.3">
      <c r="G5450"/>
    </row>
    <row r="5451" spans="7:7" x14ac:dyDescent="0.3">
      <c r="G5451"/>
    </row>
    <row r="5452" spans="7:7" x14ac:dyDescent="0.3">
      <c r="G5452"/>
    </row>
    <row r="5453" spans="7:7" x14ac:dyDescent="0.3">
      <c r="G5453"/>
    </row>
    <row r="5454" spans="7:7" x14ac:dyDescent="0.3">
      <c r="G5454"/>
    </row>
    <row r="5455" spans="7:7" x14ac:dyDescent="0.3">
      <c r="G5455"/>
    </row>
    <row r="5456" spans="7:7" x14ac:dyDescent="0.3">
      <c r="G5456"/>
    </row>
    <row r="5457" spans="7:7" x14ac:dyDescent="0.3">
      <c r="G5457"/>
    </row>
    <row r="5458" spans="7:7" x14ac:dyDescent="0.3">
      <c r="G5458"/>
    </row>
    <row r="5459" spans="7:7" x14ac:dyDescent="0.3">
      <c r="G5459"/>
    </row>
    <row r="5460" spans="7:7" x14ac:dyDescent="0.3">
      <c r="G5460"/>
    </row>
    <row r="5461" spans="7:7" x14ac:dyDescent="0.3">
      <c r="G5461"/>
    </row>
    <row r="5462" spans="7:7" x14ac:dyDescent="0.3">
      <c r="G5462"/>
    </row>
    <row r="5463" spans="7:7" x14ac:dyDescent="0.3">
      <c r="G5463"/>
    </row>
    <row r="5464" spans="7:7" x14ac:dyDescent="0.3">
      <c r="G5464"/>
    </row>
    <row r="5465" spans="7:7" x14ac:dyDescent="0.3">
      <c r="G5465"/>
    </row>
    <row r="5466" spans="7:7" x14ac:dyDescent="0.3">
      <c r="G5466"/>
    </row>
    <row r="5467" spans="7:7" x14ac:dyDescent="0.3">
      <c r="G5467"/>
    </row>
    <row r="5468" spans="7:7" x14ac:dyDescent="0.3">
      <c r="G5468"/>
    </row>
    <row r="5469" spans="7:7" x14ac:dyDescent="0.3">
      <c r="G5469"/>
    </row>
    <row r="5470" spans="7:7" x14ac:dyDescent="0.3">
      <c r="G5470"/>
    </row>
    <row r="5471" spans="7:7" x14ac:dyDescent="0.3">
      <c r="G5471"/>
    </row>
    <row r="5472" spans="7:7" x14ac:dyDescent="0.3">
      <c r="G5472"/>
    </row>
    <row r="5473" spans="7:7" x14ac:dyDescent="0.3">
      <c r="G5473"/>
    </row>
    <row r="5474" spans="7:7" x14ac:dyDescent="0.3">
      <c r="G5474"/>
    </row>
    <row r="5475" spans="7:7" x14ac:dyDescent="0.3">
      <c r="G5475"/>
    </row>
    <row r="5476" spans="7:7" x14ac:dyDescent="0.3">
      <c r="G5476"/>
    </row>
    <row r="5477" spans="7:7" x14ac:dyDescent="0.3">
      <c r="G5477"/>
    </row>
    <row r="5478" spans="7:7" x14ac:dyDescent="0.3">
      <c r="G5478"/>
    </row>
    <row r="5479" spans="7:7" x14ac:dyDescent="0.3">
      <c r="G5479"/>
    </row>
    <row r="5480" spans="7:7" x14ac:dyDescent="0.3">
      <c r="G5480"/>
    </row>
    <row r="5481" spans="7:7" x14ac:dyDescent="0.3">
      <c r="G5481"/>
    </row>
    <row r="5482" spans="7:7" x14ac:dyDescent="0.3">
      <c r="G5482"/>
    </row>
    <row r="5483" spans="7:7" x14ac:dyDescent="0.3">
      <c r="G5483"/>
    </row>
    <row r="5484" spans="7:7" x14ac:dyDescent="0.3">
      <c r="G5484"/>
    </row>
    <row r="5485" spans="7:7" x14ac:dyDescent="0.3">
      <c r="G5485"/>
    </row>
    <row r="5486" spans="7:7" x14ac:dyDescent="0.3">
      <c r="G5486"/>
    </row>
    <row r="5487" spans="7:7" x14ac:dyDescent="0.3">
      <c r="G5487"/>
    </row>
    <row r="5488" spans="7:7" x14ac:dyDescent="0.3">
      <c r="G5488"/>
    </row>
    <row r="5489" spans="7:7" x14ac:dyDescent="0.3">
      <c r="G5489"/>
    </row>
    <row r="5490" spans="7:7" x14ac:dyDescent="0.3">
      <c r="G5490"/>
    </row>
    <row r="5491" spans="7:7" x14ac:dyDescent="0.3">
      <c r="G5491"/>
    </row>
    <row r="5492" spans="7:7" x14ac:dyDescent="0.3">
      <c r="G5492"/>
    </row>
    <row r="5493" spans="7:7" x14ac:dyDescent="0.3">
      <c r="G5493"/>
    </row>
    <row r="5494" spans="7:7" x14ac:dyDescent="0.3">
      <c r="G5494"/>
    </row>
    <row r="5495" spans="7:7" x14ac:dyDescent="0.3">
      <c r="G5495"/>
    </row>
    <row r="5496" spans="7:7" x14ac:dyDescent="0.3">
      <c r="G5496"/>
    </row>
    <row r="5497" spans="7:7" x14ac:dyDescent="0.3">
      <c r="G5497"/>
    </row>
    <row r="5498" spans="7:7" x14ac:dyDescent="0.3">
      <c r="G5498"/>
    </row>
    <row r="5499" spans="7:7" x14ac:dyDescent="0.3">
      <c r="G5499"/>
    </row>
    <row r="5500" spans="7:7" x14ac:dyDescent="0.3">
      <c r="G5500"/>
    </row>
    <row r="5501" spans="7:7" x14ac:dyDescent="0.3">
      <c r="G5501"/>
    </row>
    <row r="5502" spans="7:7" x14ac:dyDescent="0.3">
      <c r="G5502"/>
    </row>
    <row r="5503" spans="7:7" x14ac:dyDescent="0.3">
      <c r="G5503"/>
    </row>
    <row r="5504" spans="7:7" x14ac:dyDescent="0.3">
      <c r="G5504"/>
    </row>
    <row r="5505" spans="7:7" x14ac:dyDescent="0.3">
      <c r="G5505"/>
    </row>
    <row r="5506" spans="7:7" x14ac:dyDescent="0.3">
      <c r="G5506"/>
    </row>
    <row r="5507" spans="7:7" x14ac:dyDescent="0.3">
      <c r="G5507"/>
    </row>
    <row r="5508" spans="7:7" x14ac:dyDescent="0.3">
      <c r="G5508"/>
    </row>
    <row r="5509" spans="7:7" x14ac:dyDescent="0.3">
      <c r="G5509"/>
    </row>
    <row r="5510" spans="7:7" x14ac:dyDescent="0.3">
      <c r="G5510"/>
    </row>
    <row r="5511" spans="7:7" x14ac:dyDescent="0.3">
      <c r="G5511"/>
    </row>
    <row r="5512" spans="7:7" x14ac:dyDescent="0.3">
      <c r="G5512"/>
    </row>
    <row r="5513" spans="7:7" x14ac:dyDescent="0.3">
      <c r="G5513"/>
    </row>
    <row r="5514" spans="7:7" x14ac:dyDescent="0.3">
      <c r="G5514"/>
    </row>
    <row r="5515" spans="7:7" x14ac:dyDescent="0.3">
      <c r="G5515"/>
    </row>
    <row r="5516" spans="7:7" x14ac:dyDescent="0.3">
      <c r="G5516"/>
    </row>
    <row r="5517" spans="7:7" x14ac:dyDescent="0.3">
      <c r="G5517"/>
    </row>
    <row r="5518" spans="7:7" x14ac:dyDescent="0.3">
      <c r="G5518"/>
    </row>
    <row r="5519" spans="7:7" x14ac:dyDescent="0.3">
      <c r="G5519"/>
    </row>
    <row r="5520" spans="7:7" x14ac:dyDescent="0.3">
      <c r="G5520"/>
    </row>
    <row r="5521" spans="7:7" x14ac:dyDescent="0.3">
      <c r="G5521"/>
    </row>
    <row r="5522" spans="7:7" x14ac:dyDescent="0.3">
      <c r="G5522"/>
    </row>
    <row r="5523" spans="7:7" x14ac:dyDescent="0.3">
      <c r="G5523"/>
    </row>
    <row r="5524" spans="7:7" x14ac:dyDescent="0.3">
      <c r="G5524"/>
    </row>
    <row r="5525" spans="7:7" x14ac:dyDescent="0.3">
      <c r="G5525"/>
    </row>
    <row r="5526" spans="7:7" x14ac:dyDescent="0.3">
      <c r="G5526"/>
    </row>
    <row r="5527" spans="7:7" x14ac:dyDescent="0.3">
      <c r="G5527"/>
    </row>
    <row r="5528" spans="7:7" x14ac:dyDescent="0.3">
      <c r="G5528"/>
    </row>
    <row r="5529" spans="7:7" x14ac:dyDescent="0.3">
      <c r="G5529"/>
    </row>
    <row r="5530" spans="7:7" x14ac:dyDescent="0.3">
      <c r="G5530"/>
    </row>
    <row r="5531" spans="7:7" x14ac:dyDescent="0.3">
      <c r="G5531"/>
    </row>
    <row r="5532" spans="7:7" x14ac:dyDescent="0.3">
      <c r="G5532"/>
    </row>
    <row r="5533" spans="7:7" x14ac:dyDescent="0.3">
      <c r="G5533"/>
    </row>
    <row r="5534" spans="7:7" x14ac:dyDescent="0.3">
      <c r="G5534"/>
    </row>
    <row r="5535" spans="7:7" x14ac:dyDescent="0.3">
      <c r="G5535"/>
    </row>
    <row r="5536" spans="7:7" x14ac:dyDescent="0.3">
      <c r="G5536"/>
    </row>
    <row r="5537" spans="7:7" x14ac:dyDescent="0.3">
      <c r="G5537"/>
    </row>
    <row r="5538" spans="7:7" x14ac:dyDescent="0.3">
      <c r="G5538"/>
    </row>
    <row r="5539" spans="7:7" x14ac:dyDescent="0.3">
      <c r="G5539"/>
    </row>
    <row r="5540" spans="7:7" x14ac:dyDescent="0.3">
      <c r="G5540"/>
    </row>
    <row r="5541" spans="7:7" x14ac:dyDescent="0.3">
      <c r="G5541"/>
    </row>
    <row r="5542" spans="7:7" x14ac:dyDescent="0.3">
      <c r="G5542"/>
    </row>
    <row r="5543" spans="7:7" x14ac:dyDescent="0.3">
      <c r="G5543"/>
    </row>
    <row r="5544" spans="7:7" x14ac:dyDescent="0.3">
      <c r="G5544"/>
    </row>
    <row r="5545" spans="7:7" x14ac:dyDescent="0.3">
      <c r="G5545"/>
    </row>
    <row r="5546" spans="7:7" x14ac:dyDescent="0.3">
      <c r="G5546"/>
    </row>
    <row r="5547" spans="7:7" x14ac:dyDescent="0.3">
      <c r="G5547"/>
    </row>
    <row r="5548" spans="7:7" x14ac:dyDescent="0.3">
      <c r="G5548"/>
    </row>
    <row r="5549" spans="7:7" x14ac:dyDescent="0.3">
      <c r="G5549"/>
    </row>
    <row r="5550" spans="7:7" x14ac:dyDescent="0.3">
      <c r="G5550"/>
    </row>
    <row r="5551" spans="7:7" x14ac:dyDescent="0.3">
      <c r="G5551"/>
    </row>
    <row r="5552" spans="7:7" x14ac:dyDescent="0.3">
      <c r="G5552"/>
    </row>
    <row r="5553" spans="7:7" x14ac:dyDescent="0.3">
      <c r="G5553"/>
    </row>
    <row r="5554" spans="7:7" x14ac:dyDescent="0.3">
      <c r="G5554"/>
    </row>
    <row r="5555" spans="7:7" x14ac:dyDescent="0.3">
      <c r="G5555"/>
    </row>
    <row r="5556" spans="7:7" x14ac:dyDescent="0.3">
      <c r="G5556"/>
    </row>
    <row r="5557" spans="7:7" x14ac:dyDescent="0.3">
      <c r="G5557"/>
    </row>
    <row r="5558" spans="7:7" x14ac:dyDescent="0.3">
      <c r="G5558"/>
    </row>
    <row r="5559" spans="7:7" x14ac:dyDescent="0.3">
      <c r="G5559"/>
    </row>
    <row r="5560" spans="7:7" x14ac:dyDescent="0.3">
      <c r="G5560"/>
    </row>
    <row r="5561" spans="7:7" x14ac:dyDescent="0.3">
      <c r="G5561"/>
    </row>
    <row r="5562" spans="7:7" x14ac:dyDescent="0.3">
      <c r="G5562"/>
    </row>
    <row r="5563" spans="7:7" x14ac:dyDescent="0.3">
      <c r="G5563"/>
    </row>
    <row r="5564" spans="7:7" x14ac:dyDescent="0.3">
      <c r="G5564"/>
    </row>
    <row r="5565" spans="7:7" x14ac:dyDescent="0.3">
      <c r="G5565"/>
    </row>
    <row r="5566" spans="7:7" x14ac:dyDescent="0.3">
      <c r="G5566"/>
    </row>
    <row r="5567" spans="7:7" x14ac:dyDescent="0.3">
      <c r="G5567"/>
    </row>
    <row r="5568" spans="7:7" x14ac:dyDescent="0.3">
      <c r="G5568"/>
    </row>
    <row r="5569" spans="7:7" x14ac:dyDescent="0.3">
      <c r="G5569"/>
    </row>
    <row r="5570" spans="7:7" x14ac:dyDescent="0.3">
      <c r="G5570"/>
    </row>
    <row r="5571" spans="7:7" x14ac:dyDescent="0.3">
      <c r="G5571"/>
    </row>
    <row r="5572" spans="7:7" x14ac:dyDescent="0.3">
      <c r="G5572"/>
    </row>
    <row r="5573" spans="7:7" x14ac:dyDescent="0.3">
      <c r="G5573"/>
    </row>
    <row r="5574" spans="7:7" x14ac:dyDescent="0.3">
      <c r="G5574"/>
    </row>
    <row r="5575" spans="7:7" x14ac:dyDescent="0.3">
      <c r="G5575"/>
    </row>
    <row r="5576" spans="7:7" x14ac:dyDescent="0.3">
      <c r="G5576"/>
    </row>
    <row r="5577" spans="7:7" x14ac:dyDescent="0.3">
      <c r="G5577"/>
    </row>
    <row r="5578" spans="7:7" x14ac:dyDescent="0.3">
      <c r="G5578"/>
    </row>
    <row r="5579" spans="7:7" x14ac:dyDescent="0.3">
      <c r="G5579"/>
    </row>
    <row r="5580" spans="7:7" x14ac:dyDescent="0.3">
      <c r="G5580"/>
    </row>
    <row r="5581" spans="7:7" x14ac:dyDescent="0.3">
      <c r="G5581"/>
    </row>
    <row r="5582" spans="7:7" x14ac:dyDescent="0.3">
      <c r="G5582"/>
    </row>
    <row r="5583" spans="7:7" x14ac:dyDescent="0.3">
      <c r="G5583"/>
    </row>
    <row r="5584" spans="7:7" x14ac:dyDescent="0.3">
      <c r="G5584"/>
    </row>
    <row r="5585" spans="7:7" x14ac:dyDescent="0.3">
      <c r="G5585"/>
    </row>
    <row r="5586" spans="7:7" x14ac:dyDescent="0.3">
      <c r="G5586"/>
    </row>
    <row r="5587" spans="7:7" x14ac:dyDescent="0.3">
      <c r="G5587"/>
    </row>
    <row r="5588" spans="7:7" x14ac:dyDescent="0.3">
      <c r="G5588"/>
    </row>
    <row r="5589" spans="7:7" x14ac:dyDescent="0.3">
      <c r="G5589"/>
    </row>
    <row r="5590" spans="7:7" x14ac:dyDescent="0.3">
      <c r="G5590"/>
    </row>
    <row r="5591" spans="7:7" x14ac:dyDescent="0.3">
      <c r="G5591"/>
    </row>
    <row r="5592" spans="7:7" x14ac:dyDescent="0.3">
      <c r="G5592"/>
    </row>
    <row r="5593" spans="7:7" x14ac:dyDescent="0.3">
      <c r="G5593"/>
    </row>
    <row r="5594" spans="7:7" x14ac:dyDescent="0.3">
      <c r="G5594"/>
    </row>
    <row r="5595" spans="7:7" x14ac:dyDescent="0.3">
      <c r="G5595"/>
    </row>
    <row r="5596" spans="7:7" x14ac:dyDescent="0.3">
      <c r="G5596"/>
    </row>
    <row r="5597" spans="7:7" x14ac:dyDescent="0.3">
      <c r="G5597"/>
    </row>
    <row r="5598" spans="7:7" x14ac:dyDescent="0.3">
      <c r="G5598"/>
    </row>
    <row r="5599" spans="7:7" x14ac:dyDescent="0.3">
      <c r="G5599"/>
    </row>
    <row r="5600" spans="7:7" x14ac:dyDescent="0.3">
      <c r="G5600"/>
    </row>
    <row r="5601" spans="7:7" x14ac:dyDescent="0.3">
      <c r="G5601"/>
    </row>
    <row r="5602" spans="7:7" x14ac:dyDescent="0.3">
      <c r="G5602"/>
    </row>
    <row r="5603" spans="7:7" x14ac:dyDescent="0.3">
      <c r="G5603"/>
    </row>
    <row r="5604" spans="7:7" x14ac:dyDescent="0.3">
      <c r="G5604"/>
    </row>
    <row r="5605" spans="7:7" x14ac:dyDescent="0.3">
      <c r="G5605"/>
    </row>
    <row r="5606" spans="7:7" x14ac:dyDescent="0.3">
      <c r="G5606"/>
    </row>
    <row r="5607" spans="7:7" x14ac:dyDescent="0.3">
      <c r="G5607"/>
    </row>
    <row r="5608" spans="7:7" x14ac:dyDescent="0.3">
      <c r="G5608"/>
    </row>
    <row r="5609" spans="7:7" x14ac:dyDescent="0.3">
      <c r="G5609"/>
    </row>
    <row r="5610" spans="7:7" x14ac:dyDescent="0.3">
      <c r="G5610"/>
    </row>
    <row r="5611" spans="7:7" x14ac:dyDescent="0.3">
      <c r="G5611"/>
    </row>
    <row r="5612" spans="7:7" x14ac:dyDescent="0.3">
      <c r="G5612"/>
    </row>
    <row r="5613" spans="7:7" x14ac:dyDescent="0.3">
      <c r="G5613"/>
    </row>
    <row r="5614" spans="7:7" x14ac:dyDescent="0.3">
      <c r="G5614"/>
    </row>
    <row r="5615" spans="7:7" x14ac:dyDescent="0.3">
      <c r="G5615"/>
    </row>
    <row r="5616" spans="7:7" x14ac:dyDescent="0.3">
      <c r="G5616"/>
    </row>
    <row r="5617" spans="7:7" x14ac:dyDescent="0.3">
      <c r="G5617"/>
    </row>
    <row r="5618" spans="7:7" x14ac:dyDescent="0.3">
      <c r="G5618"/>
    </row>
    <row r="5619" spans="7:7" x14ac:dyDescent="0.3">
      <c r="G5619"/>
    </row>
    <row r="5620" spans="7:7" x14ac:dyDescent="0.3">
      <c r="G5620"/>
    </row>
    <row r="5621" spans="7:7" x14ac:dyDescent="0.3">
      <c r="G5621"/>
    </row>
    <row r="5622" spans="7:7" x14ac:dyDescent="0.3">
      <c r="G5622"/>
    </row>
    <row r="5623" spans="7:7" x14ac:dyDescent="0.3">
      <c r="G5623"/>
    </row>
    <row r="5624" spans="7:7" x14ac:dyDescent="0.3">
      <c r="G5624"/>
    </row>
    <row r="5625" spans="7:7" x14ac:dyDescent="0.3">
      <c r="G5625"/>
    </row>
    <row r="5626" spans="7:7" x14ac:dyDescent="0.3">
      <c r="G5626"/>
    </row>
    <row r="5627" spans="7:7" x14ac:dyDescent="0.3">
      <c r="G5627"/>
    </row>
    <row r="5628" spans="7:7" x14ac:dyDescent="0.3">
      <c r="G5628"/>
    </row>
    <row r="5629" spans="7:7" x14ac:dyDescent="0.3">
      <c r="G5629"/>
    </row>
    <row r="5630" spans="7:7" x14ac:dyDescent="0.3">
      <c r="G5630"/>
    </row>
    <row r="5631" spans="7:7" x14ac:dyDescent="0.3">
      <c r="G5631"/>
    </row>
    <row r="5632" spans="7:7" x14ac:dyDescent="0.3">
      <c r="G5632"/>
    </row>
    <row r="5633" spans="7:7" x14ac:dyDescent="0.3">
      <c r="G5633"/>
    </row>
    <row r="5634" spans="7:7" x14ac:dyDescent="0.3">
      <c r="G5634"/>
    </row>
    <row r="5635" spans="7:7" x14ac:dyDescent="0.3">
      <c r="G5635"/>
    </row>
    <row r="5636" spans="7:7" x14ac:dyDescent="0.3">
      <c r="G5636"/>
    </row>
    <row r="5637" spans="7:7" x14ac:dyDescent="0.3">
      <c r="G5637"/>
    </row>
    <row r="5638" spans="7:7" x14ac:dyDescent="0.3">
      <c r="G5638"/>
    </row>
    <row r="5639" spans="7:7" x14ac:dyDescent="0.3">
      <c r="G5639"/>
    </row>
    <row r="5640" spans="7:7" x14ac:dyDescent="0.3">
      <c r="G5640"/>
    </row>
    <row r="5641" spans="7:7" x14ac:dyDescent="0.3">
      <c r="G5641"/>
    </row>
    <row r="5642" spans="7:7" x14ac:dyDescent="0.3">
      <c r="G5642"/>
    </row>
    <row r="5643" spans="7:7" x14ac:dyDescent="0.3">
      <c r="G5643"/>
    </row>
    <row r="5644" spans="7:7" x14ac:dyDescent="0.3">
      <c r="G5644"/>
    </row>
    <row r="5645" spans="7:7" x14ac:dyDescent="0.3">
      <c r="G5645"/>
    </row>
    <row r="5646" spans="7:7" x14ac:dyDescent="0.3">
      <c r="G5646"/>
    </row>
    <row r="5647" spans="7:7" x14ac:dyDescent="0.3">
      <c r="G5647"/>
    </row>
    <row r="5648" spans="7:7" x14ac:dyDescent="0.3">
      <c r="G5648"/>
    </row>
    <row r="5649" spans="7:7" x14ac:dyDescent="0.3">
      <c r="G5649"/>
    </row>
    <row r="5650" spans="7:7" x14ac:dyDescent="0.3">
      <c r="G5650"/>
    </row>
    <row r="5651" spans="7:7" x14ac:dyDescent="0.3">
      <c r="G5651"/>
    </row>
    <row r="5652" spans="7:7" x14ac:dyDescent="0.3">
      <c r="G5652"/>
    </row>
    <row r="5653" spans="7:7" x14ac:dyDescent="0.3">
      <c r="G5653"/>
    </row>
    <row r="5654" spans="7:7" x14ac:dyDescent="0.3">
      <c r="G5654"/>
    </row>
    <row r="5655" spans="7:7" x14ac:dyDescent="0.3">
      <c r="G5655"/>
    </row>
    <row r="5656" spans="7:7" x14ac:dyDescent="0.3">
      <c r="G5656"/>
    </row>
    <row r="5657" spans="7:7" x14ac:dyDescent="0.3">
      <c r="G5657"/>
    </row>
    <row r="5658" spans="7:7" x14ac:dyDescent="0.3">
      <c r="G5658"/>
    </row>
    <row r="5659" spans="7:7" x14ac:dyDescent="0.3">
      <c r="G5659"/>
    </row>
    <row r="5660" spans="7:7" x14ac:dyDescent="0.3">
      <c r="G5660"/>
    </row>
    <row r="5661" spans="7:7" x14ac:dyDescent="0.3">
      <c r="G5661"/>
    </row>
    <row r="5662" spans="7:7" x14ac:dyDescent="0.3">
      <c r="G5662"/>
    </row>
    <row r="5663" spans="7:7" x14ac:dyDescent="0.3">
      <c r="G5663"/>
    </row>
    <row r="5664" spans="7:7" x14ac:dyDescent="0.3">
      <c r="G5664"/>
    </row>
    <row r="5665" spans="7:7" x14ac:dyDescent="0.3">
      <c r="G5665"/>
    </row>
    <row r="5666" spans="7:7" x14ac:dyDescent="0.3">
      <c r="G5666"/>
    </row>
    <row r="5667" spans="7:7" x14ac:dyDescent="0.3">
      <c r="G5667"/>
    </row>
    <row r="5668" spans="7:7" x14ac:dyDescent="0.3">
      <c r="G5668"/>
    </row>
    <row r="5669" spans="7:7" x14ac:dyDescent="0.3">
      <c r="G5669"/>
    </row>
    <row r="5670" spans="7:7" x14ac:dyDescent="0.3">
      <c r="G5670"/>
    </row>
    <row r="5671" spans="7:7" x14ac:dyDescent="0.3">
      <c r="G5671"/>
    </row>
    <row r="5672" spans="7:7" x14ac:dyDescent="0.3">
      <c r="G5672"/>
    </row>
    <row r="5673" spans="7:7" x14ac:dyDescent="0.3">
      <c r="G5673"/>
    </row>
    <row r="5674" spans="7:7" x14ac:dyDescent="0.3">
      <c r="G5674"/>
    </row>
    <row r="5675" spans="7:7" x14ac:dyDescent="0.3">
      <c r="G5675"/>
    </row>
    <row r="5676" spans="7:7" x14ac:dyDescent="0.3">
      <c r="G5676"/>
    </row>
    <row r="5677" spans="7:7" x14ac:dyDescent="0.3">
      <c r="G5677"/>
    </row>
    <row r="5678" spans="7:7" x14ac:dyDescent="0.3">
      <c r="G5678"/>
    </row>
    <row r="5679" spans="7:7" x14ac:dyDescent="0.3">
      <c r="G5679"/>
    </row>
    <row r="5680" spans="7:7" x14ac:dyDescent="0.3">
      <c r="G5680"/>
    </row>
    <row r="5681" spans="7:7" x14ac:dyDescent="0.3">
      <c r="G5681"/>
    </row>
    <row r="5682" spans="7:7" x14ac:dyDescent="0.3">
      <c r="G5682"/>
    </row>
    <row r="5683" spans="7:7" x14ac:dyDescent="0.3">
      <c r="G5683"/>
    </row>
    <row r="5684" spans="7:7" x14ac:dyDescent="0.3">
      <c r="G5684"/>
    </row>
    <row r="5685" spans="7:7" x14ac:dyDescent="0.3">
      <c r="G5685"/>
    </row>
    <row r="5686" spans="7:7" x14ac:dyDescent="0.3">
      <c r="G5686"/>
    </row>
    <row r="5687" spans="7:7" x14ac:dyDescent="0.3">
      <c r="G5687"/>
    </row>
    <row r="5688" spans="7:7" x14ac:dyDescent="0.3">
      <c r="G5688"/>
    </row>
    <row r="5689" spans="7:7" x14ac:dyDescent="0.3">
      <c r="G5689"/>
    </row>
    <row r="5690" spans="7:7" x14ac:dyDescent="0.3">
      <c r="G5690"/>
    </row>
    <row r="5691" spans="7:7" x14ac:dyDescent="0.3">
      <c r="G5691"/>
    </row>
    <row r="5692" spans="7:7" x14ac:dyDescent="0.3">
      <c r="G5692"/>
    </row>
    <row r="5693" spans="7:7" x14ac:dyDescent="0.3">
      <c r="G5693"/>
    </row>
    <row r="5694" spans="7:7" x14ac:dyDescent="0.3">
      <c r="G5694"/>
    </row>
    <row r="5695" spans="7:7" x14ac:dyDescent="0.3">
      <c r="G5695"/>
    </row>
    <row r="5696" spans="7:7" x14ac:dyDescent="0.3">
      <c r="G5696"/>
    </row>
    <row r="5697" spans="7:7" x14ac:dyDescent="0.3">
      <c r="G5697"/>
    </row>
    <row r="5698" spans="7:7" x14ac:dyDescent="0.3">
      <c r="G5698"/>
    </row>
    <row r="5699" spans="7:7" x14ac:dyDescent="0.3">
      <c r="G5699"/>
    </row>
    <row r="5700" spans="7:7" x14ac:dyDescent="0.3">
      <c r="G5700"/>
    </row>
    <row r="5701" spans="7:7" x14ac:dyDescent="0.3">
      <c r="G5701"/>
    </row>
  </sheetData>
  <mergeCells count="1">
    <mergeCell ref="A1:H1"/>
  </mergeCells>
  <conditionalFormatting sqref="F23:G5701">
    <cfRule type="containsText" dxfId="33" priority="1" operator="containsText" text="Pending">
      <formula>NOT(ISERROR(SEARCH("Pending",F23)))</formula>
    </cfRule>
    <cfRule type="containsText" dxfId="32" priority="2" operator="containsText" text="completed">
      <formula>NOT(ISERROR(SEARCH("completed",F23)))</formula>
    </cfRule>
  </conditionalFormatting>
  <conditionalFormatting sqref="H2:H1048576">
    <cfRule type="containsText" dxfId="31" priority="3" operator="containsText" text="Pending">
      <formula>NOT(ISERROR(SEARCH("Pending",H2)))</formula>
    </cfRule>
    <cfRule type="containsText" dxfId="30" priority="4" operator="containsText" text="completed">
      <formula>NOT(ISERROR(SEARCH("completed",H2)))</formula>
    </cfRule>
  </conditionalFormatting>
  <pageMargins left="0.75" right="0.75" top="1" bottom="1" header="0.5" footer="0.5"/>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A4DBD-DFF9-44A7-9DD7-05D2CB3B3200}">
  <sheetPr>
    <tabColor rgb="FFCC66FF"/>
  </sheetPr>
  <dimension ref="A2:C15"/>
  <sheetViews>
    <sheetView workbookViewId="0">
      <selection activeCell="B9" sqref="B9"/>
    </sheetView>
  </sheetViews>
  <sheetFormatPr defaultRowHeight="14.4" x14ac:dyDescent="0.3"/>
  <cols>
    <col min="1" max="1" width="24.44140625" bestFit="1" customWidth="1"/>
    <col min="2" max="2" width="23.88671875" bestFit="1" customWidth="1"/>
    <col min="3" max="3" width="11.21875" bestFit="1" customWidth="1"/>
    <col min="4" max="4" width="15.88671875" bestFit="1" customWidth="1"/>
  </cols>
  <sheetData>
    <row r="2" spans="1:3" ht="21" x14ac:dyDescent="0.4">
      <c r="A2" s="46" t="s">
        <v>236</v>
      </c>
      <c r="B2" s="47"/>
      <c r="C2" s="48"/>
    </row>
    <row r="3" spans="1:3" ht="21" x14ac:dyDescent="0.4">
      <c r="A3" s="30" t="s">
        <v>211</v>
      </c>
      <c r="B3" s="30" t="s">
        <v>214</v>
      </c>
      <c r="C3" s="31"/>
    </row>
    <row r="4" spans="1:3" ht="21" x14ac:dyDescent="0.4">
      <c r="A4" s="30" t="s">
        <v>237</v>
      </c>
      <c r="B4" s="31" t="s">
        <v>81</v>
      </c>
      <c r="C4" s="31" t="s">
        <v>82</v>
      </c>
    </row>
    <row r="5" spans="1:3" ht="21" x14ac:dyDescent="0.4">
      <c r="A5" s="31" t="s">
        <v>202</v>
      </c>
      <c r="B5" s="50">
        <v>2</v>
      </c>
      <c r="C5" s="50"/>
    </row>
    <row r="6" spans="1:3" ht="21" x14ac:dyDescent="0.4">
      <c r="A6" s="31" t="s">
        <v>203</v>
      </c>
      <c r="B6" s="50">
        <v>1</v>
      </c>
      <c r="C6" s="50"/>
    </row>
    <row r="7" spans="1:3" ht="21" x14ac:dyDescent="0.4">
      <c r="A7" s="31" t="s">
        <v>204</v>
      </c>
      <c r="B7" s="50">
        <v>3</v>
      </c>
      <c r="C7" s="50"/>
    </row>
    <row r="8" spans="1:3" ht="21" x14ac:dyDescent="0.4">
      <c r="A8" s="31" t="s">
        <v>205</v>
      </c>
      <c r="B8" s="50">
        <v>2</v>
      </c>
      <c r="C8" s="50"/>
    </row>
    <row r="9" spans="1:3" ht="21" x14ac:dyDescent="0.4">
      <c r="A9" s="31" t="s">
        <v>206</v>
      </c>
      <c r="B9" s="50">
        <v>1</v>
      </c>
      <c r="C9" s="50"/>
    </row>
    <row r="10" spans="1:3" ht="21" x14ac:dyDescent="0.4">
      <c r="A10" s="31" t="s">
        <v>207</v>
      </c>
      <c r="B10" s="50">
        <v>3</v>
      </c>
      <c r="C10" s="50"/>
    </row>
    <row r="11" spans="1:3" ht="21" x14ac:dyDescent="0.4">
      <c r="A11" s="31" t="s">
        <v>208</v>
      </c>
      <c r="B11" s="50"/>
      <c r="C11" s="50">
        <v>4</v>
      </c>
    </row>
    <row r="12" spans="1:3" ht="21" x14ac:dyDescent="0.4">
      <c r="A12" s="31" t="s">
        <v>209</v>
      </c>
      <c r="B12" s="50"/>
      <c r="C12" s="50">
        <v>2</v>
      </c>
    </row>
    <row r="13" spans="1:3" ht="21" x14ac:dyDescent="0.4">
      <c r="A13" s="31" t="s">
        <v>212</v>
      </c>
      <c r="B13" s="50"/>
      <c r="C13" s="50">
        <v>1</v>
      </c>
    </row>
    <row r="14" spans="1:3" ht="21" x14ac:dyDescent="0.4">
      <c r="A14" s="31" t="s">
        <v>213</v>
      </c>
      <c r="B14" s="50"/>
      <c r="C14" s="50">
        <v>1</v>
      </c>
    </row>
    <row r="15" spans="1:3" ht="21" x14ac:dyDescent="0.4">
      <c r="A15" s="31" t="s">
        <v>210</v>
      </c>
      <c r="B15" s="50">
        <v>12</v>
      </c>
      <c r="C15" s="50">
        <v>8</v>
      </c>
    </row>
  </sheetData>
  <mergeCells count="1">
    <mergeCell ref="A2:C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34998626667073579"/>
  </sheetPr>
  <dimension ref="B2:E15"/>
  <sheetViews>
    <sheetView showGridLines="0" workbookViewId="0"/>
  </sheetViews>
  <sheetFormatPr defaultRowHeight="14.4" x14ac:dyDescent="0.3"/>
  <cols>
    <col min="2" max="2" width="26.44140625" bestFit="1" customWidth="1"/>
    <col min="3" max="3" width="16.6640625" style="2" bestFit="1" customWidth="1"/>
    <col min="4" max="4" width="17.5546875" bestFit="1" customWidth="1"/>
    <col min="5" max="5" width="14.44140625" bestFit="1" customWidth="1"/>
  </cols>
  <sheetData>
    <row r="2" spans="2:5" ht="23.4" x14ac:dyDescent="0.45">
      <c r="B2" s="49" t="s">
        <v>221</v>
      </c>
      <c r="C2" s="49"/>
      <c r="D2" s="49"/>
      <c r="E2" s="49"/>
    </row>
    <row r="3" spans="2:5" ht="23.4" x14ac:dyDescent="0.45">
      <c r="B3" s="3" t="s">
        <v>1</v>
      </c>
      <c r="C3" s="4" t="s">
        <v>50</v>
      </c>
      <c r="D3" s="3" t="s">
        <v>51</v>
      </c>
      <c r="E3" s="3" t="s">
        <v>52</v>
      </c>
    </row>
    <row r="4" spans="2:5" ht="23.4" x14ac:dyDescent="0.45">
      <c r="B4" s="5" t="s">
        <v>2</v>
      </c>
      <c r="C4" s="6">
        <v>45748</v>
      </c>
      <c r="D4" s="5" t="s">
        <v>24</v>
      </c>
      <c r="E4" s="7">
        <v>0.41666666666666669</v>
      </c>
    </row>
    <row r="5" spans="2:5" ht="23.4" x14ac:dyDescent="0.45">
      <c r="B5" s="5" t="s">
        <v>3</v>
      </c>
      <c r="C5" s="6">
        <v>45749</v>
      </c>
      <c r="D5" s="5" t="s">
        <v>25</v>
      </c>
      <c r="E5" s="7">
        <v>0.41666666666666669</v>
      </c>
    </row>
    <row r="6" spans="2:5" ht="23.4" x14ac:dyDescent="0.45">
      <c r="B6" s="5" t="s">
        <v>4</v>
      </c>
      <c r="C6" s="6">
        <v>45750</v>
      </c>
      <c r="D6" s="5" t="s">
        <v>26</v>
      </c>
      <c r="E6" s="7">
        <v>0.41666666666666669</v>
      </c>
    </row>
    <row r="7" spans="2:5" ht="23.4" x14ac:dyDescent="0.45">
      <c r="B7" s="5" t="s">
        <v>5</v>
      </c>
      <c r="C7" s="6">
        <v>45751</v>
      </c>
      <c r="D7" s="5" t="s">
        <v>27</v>
      </c>
      <c r="E7" s="7">
        <v>0.41666666666666669</v>
      </c>
    </row>
    <row r="8" spans="2:5" ht="23.4" x14ac:dyDescent="0.45">
      <c r="B8" s="5" t="s">
        <v>6</v>
      </c>
      <c r="C8" s="6">
        <v>45752</v>
      </c>
      <c r="D8" s="5" t="s">
        <v>53</v>
      </c>
      <c r="E8" s="7">
        <v>0.41666666666666669</v>
      </c>
    </row>
    <row r="9" spans="2:5" ht="23.4" x14ac:dyDescent="0.45">
      <c r="B9" s="5" t="s">
        <v>7</v>
      </c>
      <c r="C9" s="6">
        <v>45754</v>
      </c>
      <c r="D9" s="5" t="s">
        <v>24</v>
      </c>
      <c r="E9" s="7">
        <v>0.41666666666666669</v>
      </c>
    </row>
    <row r="10" spans="2:5" ht="23.4" x14ac:dyDescent="0.45">
      <c r="B10" s="5" t="s">
        <v>8</v>
      </c>
      <c r="C10" s="6">
        <v>45755</v>
      </c>
      <c r="D10" s="5" t="s">
        <v>25</v>
      </c>
      <c r="E10" s="7">
        <v>0.41666666666666669</v>
      </c>
    </row>
    <row r="11" spans="2:5" ht="23.4" x14ac:dyDescent="0.45">
      <c r="B11" s="5" t="s">
        <v>9</v>
      </c>
      <c r="C11" s="6">
        <v>45756</v>
      </c>
      <c r="D11" s="5" t="s">
        <v>26</v>
      </c>
      <c r="E11" s="7">
        <v>0.41666666666666669</v>
      </c>
    </row>
    <row r="12" spans="2:5" ht="23.4" x14ac:dyDescent="0.45">
      <c r="B12" s="5" t="s">
        <v>10</v>
      </c>
      <c r="C12" s="6">
        <v>45757</v>
      </c>
      <c r="D12" s="5" t="s">
        <v>27</v>
      </c>
      <c r="E12" s="7">
        <v>0.41666666666666669</v>
      </c>
    </row>
    <row r="13" spans="2:5" ht="23.4" x14ac:dyDescent="0.45">
      <c r="B13" s="5" t="s">
        <v>11</v>
      </c>
      <c r="C13" s="6">
        <v>45758</v>
      </c>
      <c r="D13" s="5" t="s">
        <v>53</v>
      </c>
      <c r="E13" s="7">
        <v>0.41666666666666669</v>
      </c>
    </row>
    <row r="14" spans="2:5" ht="23.4" x14ac:dyDescent="0.45">
      <c r="B14" s="5" t="s">
        <v>40</v>
      </c>
      <c r="C14" s="6">
        <v>45759</v>
      </c>
      <c r="D14" s="5" t="s">
        <v>54</v>
      </c>
      <c r="E14" s="7">
        <v>0.41666666666666669</v>
      </c>
    </row>
    <row r="15" spans="2:5" ht="23.4" x14ac:dyDescent="0.45">
      <c r="B15" s="5" t="s">
        <v>41</v>
      </c>
      <c r="C15" s="6">
        <v>45761</v>
      </c>
      <c r="D15" s="5" t="s">
        <v>24</v>
      </c>
      <c r="E15" s="7">
        <v>0.41666666666666669</v>
      </c>
    </row>
  </sheetData>
  <mergeCells count="1">
    <mergeCell ref="B2:E2"/>
  </mergeCells>
  <pageMargins left="0.75" right="0.75" top="1" bottom="1" header="0.5" footer="0.5"/>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3401-1B84-45E1-A5E6-07246C249F21}">
  <sheetPr>
    <tabColor rgb="FFFFC000"/>
  </sheetPr>
  <dimension ref="A1:N152"/>
  <sheetViews>
    <sheetView zoomScale="90" zoomScaleNormal="90" workbookViewId="0">
      <selection activeCell="D16" sqref="D16"/>
    </sheetView>
  </sheetViews>
  <sheetFormatPr defaultRowHeight="14.4" x14ac:dyDescent="0.3"/>
  <cols>
    <col min="1" max="1" width="8.5546875" customWidth="1"/>
    <col min="2" max="2" width="14.5546875" customWidth="1"/>
    <col min="3" max="3" width="14.21875" customWidth="1"/>
    <col min="4" max="4" width="27.6640625" style="25" bestFit="1" customWidth="1"/>
    <col min="5" max="5" width="7.5546875" customWidth="1"/>
    <col min="6" max="6" width="7.88671875" customWidth="1"/>
    <col min="7" max="7" width="10.5546875" customWidth="1"/>
    <col min="8" max="8" width="13.21875" bestFit="1" customWidth="1"/>
    <col min="9" max="9" width="22.77734375" bestFit="1" customWidth="1"/>
    <col min="10" max="10" width="6.77734375" style="15" customWidth="1"/>
    <col min="11" max="11" width="7.88671875" customWidth="1"/>
    <col min="12" max="12" width="16.44140625" bestFit="1" customWidth="1"/>
    <col min="13" max="13" width="13.21875" bestFit="1" customWidth="1"/>
    <col min="14" max="14" width="26.109375" bestFit="1" customWidth="1"/>
  </cols>
  <sheetData>
    <row r="1" spans="1:14" ht="23.4" x14ac:dyDescent="0.45">
      <c r="A1" s="38" t="s">
        <v>220</v>
      </c>
      <c r="B1" s="38"/>
      <c r="C1" s="38"/>
      <c r="D1" s="38"/>
      <c r="F1" s="38" t="s">
        <v>222</v>
      </c>
      <c r="G1" s="38"/>
      <c r="H1" s="38"/>
      <c r="I1" s="38"/>
      <c r="K1" s="38" t="s">
        <v>227</v>
      </c>
      <c r="L1" s="38"/>
      <c r="M1" s="38"/>
      <c r="N1" s="38"/>
    </row>
    <row r="2" spans="1:14" ht="18" x14ac:dyDescent="0.35">
      <c r="A2" s="34" t="s">
        <v>216</v>
      </c>
      <c r="B2" s="34" t="s">
        <v>0</v>
      </c>
      <c r="C2" s="34" t="s">
        <v>49</v>
      </c>
      <c r="D2" s="35" t="s">
        <v>217</v>
      </c>
      <c r="F2" s="34" t="s">
        <v>216</v>
      </c>
      <c r="G2" s="34" t="s">
        <v>0</v>
      </c>
      <c r="H2" s="34" t="s">
        <v>49</v>
      </c>
      <c r="I2" s="35" t="s">
        <v>217</v>
      </c>
      <c r="K2" s="34" t="s">
        <v>216</v>
      </c>
      <c r="L2" s="34" t="s">
        <v>226</v>
      </c>
      <c r="M2" s="34" t="s">
        <v>49</v>
      </c>
      <c r="N2" s="35" t="s">
        <v>217</v>
      </c>
    </row>
    <row r="3" spans="1:14" x14ac:dyDescent="0.3">
      <c r="A3" s="11">
        <v>6</v>
      </c>
      <c r="B3" s="23" t="str">
        <f>'Class 6'!B26</f>
        <v>Jivani Patel</v>
      </c>
      <c r="C3" s="24">
        <f>'Class 6'!P26</f>
        <v>0.87333333333333329</v>
      </c>
      <c r="D3" s="36" t="str">
        <f t="shared" ref="D3:D34" si="0">B3 &amp; " | Class " &amp; A3 &amp; " | " &amp; ROUND(C3*100,0) &amp; "%"</f>
        <v>Jivani Patel | Class 6 | 87%</v>
      </c>
      <c r="F3" s="11">
        <v>6</v>
      </c>
      <c r="G3" s="11" t="s">
        <v>219</v>
      </c>
      <c r="H3" s="24">
        <v>0.87333333333333329</v>
      </c>
      <c r="I3" s="11" t="s">
        <v>223</v>
      </c>
      <c r="K3" s="11">
        <v>6</v>
      </c>
      <c r="L3" s="11" t="str" cm="1">
        <f t="array" ref="L3">INDEX(B:B, MATCH(1, (A:A=K3)*(C:C=M3), 0))</f>
        <v>Jivani Patel</v>
      </c>
      <c r="M3" s="24">
        <f>_xlfn.MAXIFS(C:C, A:A, K3)</f>
        <v>0.87333333333333329</v>
      </c>
      <c r="N3" s="11" t="str">
        <f>L3 &amp; " | Class " &amp; K3 &amp; " | " &amp; ROUND(M3*100,0) &amp; "%"</f>
        <v>Jivani Patel | Class 6 | 87%</v>
      </c>
    </row>
    <row r="4" spans="1:14" x14ac:dyDescent="0.3">
      <c r="A4" s="11">
        <v>6</v>
      </c>
      <c r="B4" s="23" t="str">
        <f>'Class 6'!B17</f>
        <v>Tanya Jain</v>
      </c>
      <c r="C4" s="24">
        <f>'Class 6'!P17</f>
        <v>0.84166666666666667</v>
      </c>
      <c r="D4" s="36" t="str">
        <f t="shared" si="0"/>
        <v>Tanya Jain | Class 6 | 84%</v>
      </c>
      <c r="F4" s="11">
        <v>10</v>
      </c>
      <c r="G4" s="11" t="s">
        <v>198</v>
      </c>
      <c r="H4" s="24">
        <v>0.87250000000000005</v>
      </c>
      <c r="I4" s="11" t="s">
        <v>225</v>
      </c>
      <c r="K4" s="11">
        <v>7</v>
      </c>
      <c r="L4" s="11" t="str" cm="1">
        <f t="array" ref="L4">INDEX(B:B, MATCH(1, (A:A=K4)*(C:C=M4), 0))</f>
        <v>Ravi Gupta</v>
      </c>
      <c r="M4" s="24">
        <f t="shared" ref="M4:M7" si="1">_xlfn.MAXIFS(C:C, A:A, K4)</f>
        <v>0.85166666666666668</v>
      </c>
      <c r="N4" s="11" t="str">
        <f t="shared" ref="N4:N7" si="2">L4 &amp; " | Class " &amp; K4 &amp; " | " &amp; ROUND(M4*100,0) &amp; "%"</f>
        <v>Ravi Gupta | Class 7 | 85%</v>
      </c>
    </row>
    <row r="5" spans="1:14" x14ac:dyDescent="0.3">
      <c r="A5" s="11">
        <v>6</v>
      </c>
      <c r="B5" s="23" t="str">
        <f>'Class 6'!B21</f>
        <v>Ritu Kumar</v>
      </c>
      <c r="C5" s="24">
        <f>'Class 6'!P21</f>
        <v>0.83916666666666662</v>
      </c>
      <c r="D5" s="36" t="str">
        <f t="shared" si="0"/>
        <v>Ritu Kumar | Class 6 | 84%</v>
      </c>
      <c r="F5" s="11">
        <v>7</v>
      </c>
      <c r="G5" s="11" t="s">
        <v>218</v>
      </c>
      <c r="H5" s="24">
        <v>0.85166666666666668</v>
      </c>
      <c r="I5" s="11" t="s">
        <v>224</v>
      </c>
      <c r="K5" s="11">
        <v>8</v>
      </c>
      <c r="L5" s="11" t="str" cm="1">
        <f t="array" ref="L5">INDEX(B:B, MATCH(1, (A:A=K5)*(C:C=M5), 0))</f>
        <v>Nikhil Kumar</v>
      </c>
      <c r="M5" s="24">
        <f t="shared" si="1"/>
        <v>0.84833333333333338</v>
      </c>
      <c r="N5" s="11" t="str">
        <f t="shared" si="2"/>
        <v>Nikhil Kumar | Class 8 | 85%</v>
      </c>
    </row>
    <row r="6" spans="1:14" x14ac:dyDescent="0.3">
      <c r="A6" s="11">
        <v>6</v>
      </c>
      <c r="B6" s="23" t="str">
        <f>'Class 6'!B15</f>
        <v>Meera Joshi</v>
      </c>
      <c r="C6" s="24">
        <f>'Class 6'!P15</f>
        <v>0.82666666666666666</v>
      </c>
      <c r="D6" s="36" t="str">
        <f t="shared" si="0"/>
        <v>Meera Joshi | Class 6 | 83%</v>
      </c>
      <c r="K6" s="11">
        <v>9</v>
      </c>
      <c r="L6" s="11" t="str" cm="1">
        <f t="array" ref="L6">INDEX(B:B, MATCH(1, (A:A=K6)*(C:C=M6), 0))</f>
        <v>Rohan Yadav</v>
      </c>
      <c r="M6" s="24">
        <f t="shared" si="1"/>
        <v>0.83250000000000002</v>
      </c>
      <c r="N6" s="11" t="str">
        <f t="shared" si="2"/>
        <v>Rohan Yadav | Class 9 | 83%</v>
      </c>
    </row>
    <row r="7" spans="1:14" x14ac:dyDescent="0.3">
      <c r="A7" s="11">
        <v>6</v>
      </c>
      <c r="B7" s="23" t="str">
        <f>'Class 6'!B31</f>
        <v>Shreya Sharma</v>
      </c>
      <c r="C7" s="24">
        <f>'Class 6'!P31</f>
        <v>0.82666666666666666</v>
      </c>
      <c r="D7" s="36" t="str">
        <f t="shared" si="0"/>
        <v>Shreya Sharma | Class 6 | 83%</v>
      </c>
      <c r="K7" s="11">
        <v>10</v>
      </c>
      <c r="L7" s="11" t="str" cm="1">
        <f t="array" ref="L7">INDEX(B:B, MATCH(1, (A:A=K7)*(C:C=M7), 0))</f>
        <v>Harsh Jain</v>
      </c>
      <c r="M7" s="24">
        <f t="shared" si="1"/>
        <v>0.87250000000000005</v>
      </c>
      <c r="N7" s="11" t="str">
        <f t="shared" si="2"/>
        <v>Harsh Jain | Class 10 | 87%</v>
      </c>
    </row>
    <row r="8" spans="1:14" x14ac:dyDescent="0.3">
      <c r="A8" s="11">
        <v>6</v>
      </c>
      <c r="B8" s="23" t="str">
        <f>'Class 6'!B27</f>
        <v>Neha Patel</v>
      </c>
      <c r="C8" s="24">
        <f>'Class 6'!P27</f>
        <v>0.82499999999999996</v>
      </c>
      <c r="D8" s="36" t="str">
        <f t="shared" si="0"/>
        <v>Neha Patel | Class 6 | 83%</v>
      </c>
    </row>
    <row r="9" spans="1:14" x14ac:dyDescent="0.3">
      <c r="A9" s="11">
        <v>6</v>
      </c>
      <c r="B9" s="23" t="str">
        <f>'Class 6'!B11</f>
        <v>Pooja Patel</v>
      </c>
      <c r="C9" s="24">
        <f>'Class 6'!P11</f>
        <v>0.82166666666666666</v>
      </c>
      <c r="D9" s="36" t="str">
        <f t="shared" si="0"/>
        <v>Pooja Patel | Class 6 | 82%</v>
      </c>
    </row>
    <row r="10" spans="1:14" x14ac:dyDescent="0.3">
      <c r="A10" s="11">
        <v>6</v>
      </c>
      <c r="B10" s="23" t="str">
        <f>'Class 6'!B32</f>
        <v>Manish Gupta</v>
      </c>
      <c r="C10" s="24">
        <f>'Class 6'!P32</f>
        <v>0.81916666666666671</v>
      </c>
      <c r="D10" s="36" t="str">
        <f t="shared" si="0"/>
        <v>Manish Gupta | Class 6 | 82%</v>
      </c>
      <c r="J10"/>
    </row>
    <row r="11" spans="1:14" x14ac:dyDescent="0.3">
      <c r="A11" s="11">
        <v>6</v>
      </c>
      <c r="B11" s="23" t="str">
        <f>'Class 6'!B13</f>
        <v>Sneha Joshi</v>
      </c>
      <c r="C11" s="24">
        <f>'Class 6'!P13</f>
        <v>0.8175</v>
      </c>
      <c r="D11" s="36" t="str">
        <f t="shared" si="0"/>
        <v>Sneha Joshi | Class 6 | 82%</v>
      </c>
    </row>
    <row r="12" spans="1:14" x14ac:dyDescent="0.3">
      <c r="A12" s="11">
        <v>6</v>
      </c>
      <c r="B12" s="23" t="str">
        <f>'Class 6'!B4</f>
        <v>Vihaan Verma</v>
      </c>
      <c r="C12" s="24">
        <f>'Class 6'!P4</f>
        <v>0.81333333333333335</v>
      </c>
      <c r="D12" s="36" t="str">
        <f t="shared" si="0"/>
        <v>Vihaan Verma | Class 6 | 81%</v>
      </c>
    </row>
    <row r="13" spans="1:14" x14ac:dyDescent="0.3">
      <c r="A13" s="11">
        <v>6</v>
      </c>
      <c r="B13" s="23" t="str">
        <f>'Class 6'!B14</f>
        <v>Karan Gupta</v>
      </c>
      <c r="C13" s="24">
        <f>'Class 6'!P14</f>
        <v>0.8075</v>
      </c>
      <c r="D13" s="36" t="str">
        <f t="shared" si="0"/>
        <v>Karan Gupta | Class 6 | 81%</v>
      </c>
    </row>
    <row r="14" spans="1:14" x14ac:dyDescent="0.3">
      <c r="A14" s="11">
        <v>6</v>
      </c>
      <c r="B14" s="23" t="str">
        <f>'Class 6'!B22</f>
        <v>Yash Mehta</v>
      </c>
      <c r="C14" s="24">
        <f>'Class 6'!P22</f>
        <v>0.8075</v>
      </c>
      <c r="D14" s="36" t="str">
        <f t="shared" si="0"/>
        <v>Yash Mehta | Class 6 | 81%</v>
      </c>
    </row>
    <row r="15" spans="1:14" x14ac:dyDescent="0.3">
      <c r="A15" s="11">
        <v>6</v>
      </c>
      <c r="B15" s="23" t="str">
        <f>'Class 6'!B29</f>
        <v>Sakshi Sharma</v>
      </c>
      <c r="C15" s="24">
        <f>'Class 6'!P29</f>
        <v>0.8041666666666667</v>
      </c>
      <c r="D15" s="36" t="str">
        <f t="shared" si="0"/>
        <v>Sakshi Sharma | Class 6 | 80%</v>
      </c>
    </row>
    <row r="16" spans="1:14" x14ac:dyDescent="0.3">
      <c r="A16" s="11">
        <v>6</v>
      </c>
      <c r="B16" s="23" t="str">
        <f>'Class 6'!B23</f>
        <v>Priyanka Sharma</v>
      </c>
      <c r="C16" s="24">
        <f>'Class 6'!P23</f>
        <v>0.80333333333333334</v>
      </c>
      <c r="D16" s="36" t="str">
        <f t="shared" si="0"/>
        <v>Priyanka Sharma | Class 6 | 80%</v>
      </c>
    </row>
    <row r="17" spans="1:4" x14ac:dyDescent="0.3">
      <c r="A17" s="11">
        <v>6</v>
      </c>
      <c r="B17" s="23" t="str">
        <f>'Class 6'!B3</f>
        <v>Aarav Kumar</v>
      </c>
      <c r="C17" s="24">
        <f>'Class 6'!P3</f>
        <v>0.80166666666666664</v>
      </c>
      <c r="D17" s="36" t="str">
        <f t="shared" si="0"/>
        <v>Aarav Kumar | Class 6 | 80%</v>
      </c>
    </row>
    <row r="18" spans="1:4" x14ac:dyDescent="0.3">
      <c r="A18" s="11">
        <v>6</v>
      </c>
      <c r="B18" s="23" t="str">
        <f>'Class 6'!B12</f>
        <v>Arjun Verma</v>
      </c>
      <c r="C18" s="24">
        <f>'Class 6'!P12</f>
        <v>0.8</v>
      </c>
      <c r="D18" s="36" t="str">
        <f t="shared" si="0"/>
        <v>Arjun Verma | Class 6 | 80%</v>
      </c>
    </row>
    <row r="19" spans="1:4" x14ac:dyDescent="0.3">
      <c r="A19" s="11">
        <v>6</v>
      </c>
      <c r="B19" s="23" t="str">
        <f>'Class 6'!B25</f>
        <v>Simran Singh</v>
      </c>
      <c r="C19" s="24">
        <f>'Class 6'!P25</f>
        <v>0.79583333333333328</v>
      </c>
      <c r="D19" s="36" t="str">
        <f t="shared" si="0"/>
        <v>Simran Singh | Class 6 | 80%</v>
      </c>
    </row>
    <row r="20" spans="1:4" x14ac:dyDescent="0.3">
      <c r="A20" s="11">
        <v>6</v>
      </c>
      <c r="B20" s="23" t="str">
        <f>'Class 6'!B5</f>
        <v>Ananya Mehta</v>
      </c>
      <c r="C20" s="24">
        <f>'Class 6'!P5</f>
        <v>0.79500000000000004</v>
      </c>
      <c r="D20" s="36" t="str">
        <f t="shared" si="0"/>
        <v>Ananya Mehta | Class 6 | 80%</v>
      </c>
    </row>
    <row r="21" spans="1:4" x14ac:dyDescent="0.3">
      <c r="A21" s="11">
        <v>6</v>
      </c>
      <c r="B21" s="23" t="str">
        <f>'Class 6'!B18</f>
        <v>Aman Jain</v>
      </c>
      <c r="C21" s="24">
        <f>'Class 6'!P18</f>
        <v>0.78749999999999998</v>
      </c>
      <c r="D21" s="36" t="str">
        <f t="shared" si="0"/>
        <v>Aman Jain | Class 6 | 79%</v>
      </c>
    </row>
    <row r="22" spans="1:4" x14ac:dyDescent="0.3">
      <c r="A22" s="11">
        <v>6</v>
      </c>
      <c r="B22" s="23" t="str">
        <f>'Class 6'!B20</f>
        <v>Nikhil Mehta</v>
      </c>
      <c r="C22" s="24">
        <f>'Class 6'!P20</f>
        <v>0.78666666666666663</v>
      </c>
      <c r="D22" s="36" t="str">
        <f t="shared" si="0"/>
        <v>Nikhil Mehta | Class 6 | 79%</v>
      </c>
    </row>
    <row r="23" spans="1:4" x14ac:dyDescent="0.3">
      <c r="A23" s="11">
        <v>6</v>
      </c>
      <c r="B23" s="23" t="str">
        <f>'Class 6'!B6</f>
        <v>Ishaan Gupta</v>
      </c>
      <c r="C23" s="24">
        <f>'Class 6'!P6</f>
        <v>0.78500000000000003</v>
      </c>
      <c r="D23" s="36" t="str">
        <f t="shared" si="0"/>
        <v>Ishaan Gupta | Class 6 | 79%</v>
      </c>
    </row>
    <row r="24" spans="1:4" x14ac:dyDescent="0.3">
      <c r="A24" s="11">
        <v>6</v>
      </c>
      <c r="B24" s="23" t="str">
        <f>'Class 6'!B8</f>
        <v>Aditya Patel</v>
      </c>
      <c r="C24" s="24">
        <f>'Class 6'!P8</f>
        <v>0.78416666666666668</v>
      </c>
      <c r="D24" s="36" t="str">
        <f t="shared" si="0"/>
        <v>Aditya Patel | Class 6 | 78%</v>
      </c>
    </row>
    <row r="25" spans="1:4" x14ac:dyDescent="0.3">
      <c r="A25" s="11">
        <v>6</v>
      </c>
      <c r="B25" s="23" t="str">
        <f>'Class 6'!B28</f>
        <v>Harsh Singh</v>
      </c>
      <c r="C25" s="24">
        <f>'Class 6'!P28</f>
        <v>0.78249999999999997</v>
      </c>
      <c r="D25" s="36" t="str">
        <f t="shared" si="0"/>
        <v>Harsh Singh | Class 6 | 78%</v>
      </c>
    </row>
    <row r="26" spans="1:4" x14ac:dyDescent="0.3">
      <c r="A26" s="11">
        <v>6</v>
      </c>
      <c r="B26" s="23" t="str">
        <f>'Class 6'!B10</f>
        <v>Rohan Joshi</v>
      </c>
      <c r="C26" s="24">
        <f>'Class 6'!P10</f>
        <v>0.77749999999999997</v>
      </c>
      <c r="D26" s="36" t="str">
        <f t="shared" si="0"/>
        <v>Rohan Joshi | Class 6 | 78%</v>
      </c>
    </row>
    <row r="27" spans="1:4" x14ac:dyDescent="0.3">
      <c r="A27" s="11">
        <v>6</v>
      </c>
      <c r="B27" s="23" t="str">
        <f>'Class 6'!B30</f>
        <v>Rajesh Joshi</v>
      </c>
      <c r="C27" s="24">
        <f>'Class 6'!P30</f>
        <v>0.77666666666666662</v>
      </c>
      <c r="D27" s="36" t="str">
        <f t="shared" si="0"/>
        <v>Rajesh Joshi | Class 6 | 78%</v>
      </c>
    </row>
    <row r="28" spans="1:4" x14ac:dyDescent="0.3">
      <c r="A28" s="11">
        <v>6</v>
      </c>
      <c r="B28" s="23" t="str">
        <f>'Class 6'!B16</f>
        <v>Rahul Kumar</v>
      </c>
      <c r="C28" s="24">
        <f>'Class 6'!P16</f>
        <v>0.77249999999999996</v>
      </c>
      <c r="D28" s="36" t="str">
        <f t="shared" si="0"/>
        <v>Rahul Kumar | Class 6 | 77%</v>
      </c>
    </row>
    <row r="29" spans="1:4" x14ac:dyDescent="0.3">
      <c r="A29" s="11">
        <v>6</v>
      </c>
      <c r="B29" s="23" t="str">
        <f>'Class 6'!B7</f>
        <v>Diya Yadav</v>
      </c>
      <c r="C29" s="24">
        <f>'Class 6'!P7</f>
        <v>0.77166666666666661</v>
      </c>
      <c r="D29" s="36" t="str">
        <f t="shared" si="0"/>
        <v>Diya Yadav | Class 6 | 77%</v>
      </c>
    </row>
    <row r="30" spans="1:4" x14ac:dyDescent="0.3">
      <c r="A30" s="11">
        <v>6</v>
      </c>
      <c r="B30" s="23" t="str">
        <f>'Class 6'!B24</f>
        <v>Deepak Patel</v>
      </c>
      <c r="C30" s="24">
        <f>'Class 6'!P24</f>
        <v>0.77083333333333337</v>
      </c>
      <c r="D30" s="36" t="str">
        <f t="shared" si="0"/>
        <v>Deepak Patel | Class 6 | 77%</v>
      </c>
    </row>
    <row r="31" spans="1:4" x14ac:dyDescent="0.3">
      <c r="A31" s="11">
        <v>6</v>
      </c>
      <c r="B31" s="23" t="str">
        <f>'Class 6'!B19</f>
        <v>Isha Mehta</v>
      </c>
      <c r="C31" s="24">
        <f>'Class 6'!P19</f>
        <v>0.76416666666666666</v>
      </c>
      <c r="D31" s="36" t="str">
        <f t="shared" si="0"/>
        <v>Isha Mehta | Class 6 | 76%</v>
      </c>
    </row>
    <row r="32" spans="1:4" x14ac:dyDescent="0.3">
      <c r="A32" s="11">
        <v>6</v>
      </c>
      <c r="B32" s="23" t="str">
        <f>'Class 6'!B9</f>
        <v>Kavya Singh</v>
      </c>
      <c r="C32" s="24">
        <f>'Class 6'!P9</f>
        <v>0.75249999999999995</v>
      </c>
      <c r="D32" s="36" t="str">
        <f t="shared" si="0"/>
        <v>Kavya Singh | Class 6 | 75%</v>
      </c>
    </row>
    <row r="33" spans="1:4" x14ac:dyDescent="0.3">
      <c r="A33" s="11">
        <v>7</v>
      </c>
      <c r="B33" s="23" t="str">
        <f>'Class 7'!B11</f>
        <v>Ravi Gupta</v>
      </c>
      <c r="C33" s="24">
        <f>'Class 7'!P11</f>
        <v>0.85166666666666668</v>
      </c>
      <c r="D33" s="36" t="str">
        <f t="shared" si="0"/>
        <v>Ravi Gupta | Class 7 | 85%</v>
      </c>
    </row>
    <row r="34" spans="1:4" x14ac:dyDescent="0.3">
      <c r="A34" s="11">
        <v>7</v>
      </c>
      <c r="B34" s="23" t="str">
        <f>'Class 7'!B8</f>
        <v>Aditya Kumar</v>
      </c>
      <c r="C34" s="24">
        <f>'Class 7'!P8</f>
        <v>0.84416666666666662</v>
      </c>
      <c r="D34" s="36" t="str">
        <f t="shared" si="0"/>
        <v>Aditya Kumar | Class 7 | 84%</v>
      </c>
    </row>
    <row r="35" spans="1:4" x14ac:dyDescent="0.3">
      <c r="A35" s="11">
        <v>7</v>
      </c>
      <c r="B35" s="23" t="str">
        <f>'Class 7'!B6</f>
        <v>Ishaan Kumar</v>
      </c>
      <c r="C35" s="24">
        <f>'Class 7'!P6</f>
        <v>0.83166666666666667</v>
      </c>
      <c r="D35" s="36" t="str">
        <f t="shared" ref="D35:D66" si="3">B35 &amp; " | Class " &amp; A35 &amp; " | " &amp; ROUND(C35*100,0) &amp; "%"</f>
        <v>Ishaan Kumar | Class 7 | 83%</v>
      </c>
    </row>
    <row r="36" spans="1:4" x14ac:dyDescent="0.3">
      <c r="A36" s="11">
        <v>7</v>
      </c>
      <c r="B36" s="23" t="str">
        <f>'Class 7'!B19</f>
        <v>Isha Gupta</v>
      </c>
      <c r="C36" s="24">
        <f>'Class 7'!P19</f>
        <v>0.82499999999999996</v>
      </c>
      <c r="D36" s="36" t="str">
        <f t="shared" si="3"/>
        <v>Isha Gupta | Class 7 | 83%</v>
      </c>
    </row>
    <row r="37" spans="1:4" x14ac:dyDescent="0.3">
      <c r="A37" s="11">
        <v>7</v>
      </c>
      <c r="B37" s="23" t="str">
        <f>'Class 7'!B14</f>
        <v>Karan Yadav</v>
      </c>
      <c r="C37" s="24">
        <f>'Class 7'!P14</f>
        <v>0.82</v>
      </c>
      <c r="D37" s="36" t="str">
        <f t="shared" si="3"/>
        <v>Karan Yadav | Class 7 | 82%</v>
      </c>
    </row>
    <row r="38" spans="1:4" x14ac:dyDescent="0.3">
      <c r="A38" s="11">
        <v>7</v>
      </c>
      <c r="B38" s="23" t="str">
        <f>'Class 7'!B21</f>
        <v>Ritu Joshi</v>
      </c>
      <c r="C38" s="24">
        <f>'Class 7'!P21</f>
        <v>0.81416666666666671</v>
      </c>
      <c r="D38" s="36" t="str">
        <f t="shared" si="3"/>
        <v>Ritu Joshi | Class 7 | 81%</v>
      </c>
    </row>
    <row r="39" spans="1:4" x14ac:dyDescent="0.3">
      <c r="A39" s="11">
        <v>7</v>
      </c>
      <c r="B39" s="23" t="str">
        <f>'Class 7'!B29</f>
        <v>Sakshi Sharma</v>
      </c>
      <c r="C39" s="24">
        <f>'Class 7'!P29</f>
        <v>0.81416666666666671</v>
      </c>
      <c r="D39" s="36" t="str">
        <f t="shared" si="3"/>
        <v>Sakshi Sharma | Class 7 | 81%</v>
      </c>
    </row>
    <row r="40" spans="1:4" x14ac:dyDescent="0.3">
      <c r="A40" s="11">
        <v>7</v>
      </c>
      <c r="B40" s="23" t="str">
        <f>'Class 7'!B30</f>
        <v>Rajesh Sharma</v>
      </c>
      <c r="C40" s="24">
        <f>'Class 7'!P30</f>
        <v>0.81333333333333335</v>
      </c>
      <c r="D40" s="36" t="str">
        <f t="shared" si="3"/>
        <v>Rajesh Sharma | Class 7 | 81%</v>
      </c>
    </row>
    <row r="41" spans="1:4" x14ac:dyDescent="0.3">
      <c r="A41" s="11">
        <v>7</v>
      </c>
      <c r="B41" s="23" t="str">
        <f>'Class 7'!B7</f>
        <v>Diya Mehta</v>
      </c>
      <c r="C41" s="24">
        <f>'Class 7'!P7</f>
        <v>0.8075</v>
      </c>
      <c r="D41" s="36" t="str">
        <f t="shared" si="3"/>
        <v>Diya Mehta | Class 7 | 81%</v>
      </c>
    </row>
    <row r="42" spans="1:4" x14ac:dyDescent="0.3">
      <c r="A42" s="11">
        <v>7</v>
      </c>
      <c r="B42" s="23" t="str">
        <f>'Class 7'!B18</f>
        <v>Aman Jain</v>
      </c>
      <c r="C42" s="24">
        <f>'Class 7'!P18</f>
        <v>0.80666666666666664</v>
      </c>
      <c r="D42" s="36" t="str">
        <f t="shared" si="3"/>
        <v>Aman Jain | Class 7 | 81%</v>
      </c>
    </row>
    <row r="43" spans="1:4" x14ac:dyDescent="0.3">
      <c r="A43" s="11">
        <v>7</v>
      </c>
      <c r="B43" s="23" t="str">
        <f>'Class 7'!B22</f>
        <v>Yash Gupta</v>
      </c>
      <c r="C43" s="24">
        <f>'Class 7'!P22</f>
        <v>0.8041666666666667</v>
      </c>
      <c r="D43" s="36" t="str">
        <f t="shared" si="3"/>
        <v>Yash Gupta | Class 7 | 80%</v>
      </c>
    </row>
    <row r="44" spans="1:4" x14ac:dyDescent="0.3">
      <c r="A44" s="11">
        <v>7</v>
      </c>
      <c r="B44" s="23" t="str">
        <f>'Class 7'!B15</f>
        <v>Meera Joshi</v>
      </c>
      <c r="C44" s="24">
        <f>'Class 7'!P15</f>
        <v>0.80166666666666664</v>
      </c>
      <c r="D44" s="36" t="str">
        <f t="shared" si="3"/>
        <v>Meera Joshi | Class 7 | 80%</v>
      </c>
    </row>
    <row r="45" spans="1:4" x14ac:dyDescent="0.3">
      <c r="A45" s="11">
        <v>7</v>
      </c>
      <c r="B45" s="23" t="str">
        <f>'Class 7'!B28</f>
        <v>Harsh Sharma</v>
      </c>
      <c r="C45" s="24">
        <f>'Class 7'!P28</f>
        <v>0.8</v>
      </c>
      <c r="D45" s="36" t="str">
        <f t="shared" si="3"/>
        <v>Harsh Sharma | Class 7 | 80%</v>
      </c>
    </row>
    <row r="46" spans="1:4" x14ac:dyDescent="0.3">
      <c r="A46" s="11">
        <v>7</v>
      </c>
      <c r="B46" s="23" t="str">
        <f>'Class 7'!B3</f>
        <v>Aarav Joshi</v>
      </c>
      <c r="C46" s="24">
        <f>'Class 7'!P3</f>
        <v>0.79666666666666663</v>
      </c>
      <c r="D46" s="36" t="str">
        <f t="shared" si="3"/>
        <v>Aarav Joshi | Class 7 | 80%</v>
      </c>
    </row>
    <row r="47" spans="1:4" x14ac:dyDescent="0.3">
      <c r="A47" s="11">
        <v>7</v>
      </c>
      <c r="B47" s="23" t="str">
        <f>'Class 7'!B25</f>
        <v>Simran Verma</v>
      </c>
      <c r="C47" s="24">
        <f>'Class 7'!P25</f>
        <v>0.79666666666666663</v>
      </c>
      <c r="D47" s="36" t="str">
        <f t="shared" si="3"/>
        <v>Simran Verma | Class 7 | 80%</v>
      </c>
    </row>
    <row r="48" spans="1:4" x14ac:dyDescent="0.3">
      <c r="A48" s="11">
        <v>7</v>
      </c>
      <c r="B48" s="23" t="str">
        <f>'Class 7'!B10</f>
        <v>Rohan Kumar</v>
      </c>
      <c r="C48" s="24">
        <f>'Class 7'!P10</f>
        <v>0.78749999999999998</v>
      </c>
      <c r="D48" s="36" t="str">
        <f t="shared" si="3"/>
        <v>Rohan Kumar | Class 7 | 79%</v>
      </c>
    </row>
    <row r="49" spans="1:4" x14ac:dyDescent="0.3">
      <c r="A49" s="11">
        <v>7</v>
      </c>
      <c r="B49" s="23" t="str">
        <f>'Class 7'!B20</f>
        <v>Nikhil Jain</v>
      </c>
      <c r="C49" s="24">
        <f>'Class 7'!P20</f>
        <v>0.78749999999999998</v>
      </c>
      <c r="D49" s="36" t="str">
        <f t="shared" si="3"/>
        <v>Nikhil Jain | Class 7 | 79%</v>
      </c>
    </row>
    <row r="50" spans="1:4" x14ac:dyDescent="0.3">
      <c r="A50" s="11">
        <v>7</v>
      </c>
      <c r="B50" s="23" t="str">
        <f>'Class 7'!B24</f>
        <v>Deepak Mehta</v>
      </c>
      <c r="C50" s="24">
        <f>'Class 7'!P24</f>
        <v>0.78666666666666663</v>
      </c>
      <c r="D50" s="36" t="str">
        <f t="shared" si="3"/>
        <v>Deepak Mehta | Class 7 | 79%</v>
      </c>
    </row>
    <row r="51" spans="1:4" x14ac:dyDescent="0.3">
      <c r="A51" s="11">
        <v>7</v>
      </c>
      <c r="B51" s="23" t="str">
        <f>'Class 7'!B16</f>
        <v>Rahul Singh</v>
      </c>
      <c r="C51" s="24">
        <f>'Class 7'!P16</f>
        <v>0.78333333333333333</v>
      </c>
      <c r="D51" s="36" t="str">
        <f t="shared" si="3"/>
        <v>Rahul Singh | Class 7 | 78%</v>
      </c>
    </row>
    <row r="52" spans="1:4" x14ac:dyDescent="0.3">
      <c r="A52" s="11">
        <v>7</v>
      </c>
      <c r="B52" s="23" t="str">
        <f>'Class 7'!B4</f>
        <v>Vihaan Singh</v>
      </c>
      <c r="C52" s="24">
        <f>'Class 7'!P4</f>
        <v>0.78249999999999997</v>
      </c>
      <c r="D52" s="36" t="str">
        <f t="shared" si="3"/>
        <v>Vihaan Singh | Class 7 | 78%</v>
      </c>
    </row>
    <row r="53" spans="1:4" x14ac:dyDescent="0.3">
      <c r="A53" s="11">
        <v>7</v>
      </c>
      <c r="B53" s="23" t="str">
        <f>'Class 7'!B13</f>
        <v>Sneha Patel</v>
      </c>
      <c r="C53" s="24">
        <f>'Class 7'!P13</f>
        <v>0.78249999999999997</v>
      </c>
      <c r="D53" s="36" t="str">
        <f t="shared" si="3"/>
        <v>Sneha Patel | Class 7 | 78%</v>
      </c>
    </row>
    <row r="54" spans="1:4" x14ac:dyDescent="0.3">
      <c r="A54" s="11">
        <v>7</v>
      </c>
      <c r="B54" s="23" t="str">
        <f>'Class 7'!B31</f>
        <v>Shreya Mehta</v>
      </c>
      <c r="C54" s="24">
        <f>'Class 7'!P31</f>
        <v>0.78</v>
      </c>
      <c r="D54" s="36" t="str">
        <f t="shared" si="3"/>
        <v>Shreya Mehta | Class 7 | 78%</v>
      </c>
    </row>
    <row r="55" spans="1:4" x14ac:dyDescent="0.3">
      <c r="A55" s="11">
        <v>7</v>
      </c>
      <c r="B55" s="23" t="str">
        <f>'Class 7'!B26</f>
        <v>Varun Kumar</v>
      </c>
      <c r="C55" s="24">
        <f>'Class 7'!P26</f>
        <v>0.77916666666666667</v>
      </c>
      <c r="D55" s="36" t="str">
        <f t="shared" si="3"/>
        <v>Varun Kumar | Class 7 | 78%</v>
      </c>
    </row>
    <row r="56" spans="1:4" x14ac:dyDescent="0.3">
      <c r="A56" s="11">
        <v>7</v>
      </c>
      <c r="B56" s="23" t="str">
        <f>'Class 7'!B9</f>
        <v>Kavya Verma</v>
      </c>
      <c r="C56" s="24">
        <f>'Class 7'!P9</f>
        <v>0.77749999999999997</v>
      </c>
      <c r="D56" s="36" t="str">
        <f t="shared" si="3"/>
        <v>Kavya Verma | Class 7 | 78%</v>
      </c>
    </row>
    <row r="57" spans="1:4" x14ac:dyDescent="0.3">
      <c r="A57" s="11">
        <v>7</v>
      </c>
      <c r="B57" s="23" t="str">
        <f>'Class 7'!B17</f>
        <v>Tanya Singh</v>
      </c>
      <c r="C57" s="24">
        <f>'Class 7'!P17</f>
        <v>0.77416666666666667</v>
      </c>
      <c r="D57" s="36" t="str">
        <f t="shared" si="3"/>
        <v>Tanya Singh | Class 7 | 77%</v>
      </c>
    </row>
    <row r="58" spans="1:4" x14ac:dyDescent="0.3">
      <c r="A58" s="11">
        <v>7</v>
      </c>
      <c r="B58" s="23" t="str">
        <f>'Class 7'!B32</f>
        <v>Manish Verma</v>
      </c>
      <c r="C58" s="24">
        <f>'Class 7'!P32</f>
        <v>0.76833333333333331</v>
      </c>
      <c r="D58" s="36" t="str">
        <f t="shared" si="3"/>
        <v>Manish Verma | Class 7 | 77%</v>
      </c>
    </row>
    <row r="59" spans="1:4" x14ac:dyDescent="0.3">
      <c r="A59" s="11">
        <v>7</v>
      </c>
      <c r="B59" s="23" t="str">
        <f>'Class 7'!B5</f>
        <v>Ananya Gupta</v>
      </c>
      <c r="C59" s="24">
        <f>'Class 7'!P5</f>
        <v>0.76</v>
      </c>
      <c r="D59" s="36" t="str">
        <f t="shared" si="3"/>
        <v>Ananya Gupta | Class 7 | 76%</v>
      </c>
    </row>
    <row r="60" spans="1:4" x14ac:dyDescent="0.3">
      <c r="A60" s="11">
        <v>7</v>
      </c>
      <c r="B60" s="23" t="str">
        <f>'Class 7'!B27</f>
        <v>Neha Gupta</v>
      </c>
      <c r="C60" s="24">
        <f>'Class 7'!P27</f>
        <v>0.7583333333333333</v>
      </c>
      <c r="D60" s="36" t="str">
        <f t="shared" si="3"/>
        <v>Neha Gupta | Class 7 | 76%</v>
      </c>
    </row>
    <row r="61" spans="1:4" x14ac:dyDescent="0.3">
      <c r="A61" s="11">
        <v>7</v>
      </c>
      <c r="B61" s="23" t="str">
        <f>'Class 7'!B23</f>
        <v>Priyanka Kumar</v>
      </c>
      <c r="C61" s="24">
        <f>'Class 7'!P23</f>
        <v>0.74083333333333334</v>
      </c>
      <c r="D61" s="36" t="str">
        <f t="shared" si="3"/>
        <v>Priyanka Kumar | Class 7 | 74%</v>
      </c>
    </row>
    <row r="62" spans="1:4" x14ac:dyDescent="0.3">
      <c r="A62" s="11">
        <v>7</v>
      </c>
      <c r="B62" s="23" t="str">
        <f>'Class 7'!B12</f>
        <v>Arjun Singh</v>
      </c>
      <c r="C62" s="24">
        <f>'Class 7'!P12</f>
        <v>0.72666666666666668</v>
      </c>
      <c r="D62" s="36" t="str">
        <f t="shared" si="3"/>
        <v>Arjun Singh | Class 7 | 73%</v>
      </c>
    </row>
    <row r="63" spans="1:4" x14ac:dyDescent="0.3">
      <c r="A63" s="11">
        <v>8</v>
      </c>
      <c r="B63" s="23" t="str">
        <f>'Class 8'!B20</f>
        <v>Nikhil Kumar</v>
      </c>
      <c r="C63" s="24">
        <f>'Class 8'!P20</f>
        <v>0.84833333333333338</v>
      </c>
      <c r="D63" s="36" t="str">
        <f t="shared" si="3"/>
        <v>Nikhil Kumar | Class 8 | 85%</v>
      </c>
    </row>
    <row r="64" spans="1:4" x14ac:dyDescent="0.3">
      <c r="A64" s="11">
        <v>8</v>
      </c>
      <c r="B64" s="23" t="str">
        <f>'Class 8'!B8</f>
        <v>Aditya Singh</v>
      </c>
      <c r="C64" s="24">
        <f>'Class 8'!P8</f>
        <v>0.83416666666666661</v>
      </c>
      <c r="D64" s="36" t="str">
        <f t="shared" si="3"/>
        <v>Aditya Singh | Class 8 | 83%</v>
      </c>
    </row>
    <row r="65" spans="1:4" x14ac:dyDescent="0.3">
      <c r="A65" s="11">
        <v>8</v>
      </c>
      <c r="B65" s="23" t="str">
        <f>'Class 8'!B32</f>
        <v>Manish Singh</v>
      </c>
      <c r="C65" s="24">
        <f>'Class 8'!P32</f>
        <v>0.83083333333333331</v>
      </c>
      <c r="D65" s="36" t="str">
        <f t="shared" si="3"/>
        <v>Manish Singh | Class 8 | 83%</v>
      </c>
    </row>
    <row r="66" spans="1:4" x14ac:dyDescent="0.3">
      <c r="A66" s="11">
        <v>8</v>
      </c>
      <c r="B66" s="23" t="str">
        <f>'Class 8'!B25</f>
        <v>Simran Patel</v>
      </c>
      <c r="C66" s="24">
        <f>'Class 8'!P25</f>
        <v>0.82833333333333337</v>
      </c>
      <c r="D66" s="36" t="str">
        <f t="shared" si="3"/>
        <v>Simran Patel | Class 8 | 83%</v>
      </c>
    </row>
    <row r="67" spans="1:4" x14ac:dyDescent="0.3">
      <c r="A67" s="11">
        <v>8</v>
      </c>
      <c r="B67" s="23" t="str">
        <f>'Class 8'!B14</f>
        <v>Karan Yadav</v>
      </c>
      <c r="C67" s="24">
        <f>'Class 8'!P14</f>
        <v>0.81833333333333336</v>
      </c>
      <c r="D67" s="36" t="str">
        <f t="shared" ref="D67:D98" si="4">B67 &amp; " | Class " &amp; A67 &amp; " | " &amp; ROUND(C67*100,0) &amp; "%"</f>
        <v>Karan Yadav | Class 8 | 82%</v>
      </c>
    </row>
    <row r="68" spans="1:4" x14ac:dyDescent="0.3">
      <c r="A68" s="11">
        <v>8</v>
      </c>
      <c r="B68" s="23" t="str">
        <f>'Class 8'!B22</f>
        <v>Yash Yadav</v>
      </c>
      <c r="C68" s="24">
        <f>'Class 8'!P22</f>
        <v>0.81666666666666665</v>
      </c>
      <c r="D68" s="36" t="str">
        <f t="shared" si="4"/>
        <v>Yash Yadav | Class 8 | 82%</v>
      </c>
    </row>
    <row r="69" spans="1:4" x14ac:dyDescent="0.3">
      <c r="A69" s="11">
        <v>8</v>
      </c>
      <c r="B69" s="23" t="str">
        <f>'Class 8'!B12</f>
        <v>Arjun Verma</v>
      </c>
      <c r="C69" s="24">
        <f>'Class 8'!P12</f>
        <v>0.8158333333333333</v>
      </c>
      <c r="D69" s="36" t="str">
        <f t="shared" si="4"/>
        <v>Arjun Verma | Class 8 | 82%</v>
      </c>
    </row>
    <row r="70" spans="1:4" x14ac:dyDescent="0.3">
      <c r="A70" s="11">
        <v>8</v>
      </c>
      <c r="B70" s="23" t="str">
        <f>'Class 8'!B26</f>
        <v>Varun Jain</v>
      </c>
      <c r="C70" s="24">
        <f>'Class 8'!P26</f>
        <v>0.81333333333333335</v>
      </c>
      <c r="D70" s="36" t="str">
        <f t="shared" si="4"/>
        <v>Varun Jain | Class 8 | 81%</v>
      </c>
    </row>
    <row r="71" spans="1:4" x14ac:dyDescent="0.3">
      <c r="A71" s="11">
        <v>8</v>
      </c>
      <c r="B71" s="23" t="str">
        <f>'Class 8'!B29</f>
        <v>Sakshi Mehta</v>
      </c>
      <c r="C71" s="24">
        <f>'Class 8'!P29</f>
        <v>0.81333333333333335</v>
      </c>
      <c r="D71" s="36" t="str">
        <f t="shared" si="4"/>
        <v>Sakshi Mehta | Class 8 | 81%</v>
      </c>
    </row>
    <row r="72" spans="1:4" x14ac:dyDescent="0.3">
      <c r="A72" s="11">
        <v>8</v>
      </c>
      <c r="B72" s="23" t="str">
        <f>'Class 8'!B6</f>
        <v>Ishaan Singh</v>
      </c>
      <c r="C72" s="24">
        <f>'Class 8'!P6</f>
        <v>0.81</v>
      </c>
      <c r="D72" s="36" t="str">
        <f t="shared" si="4"/>
        <v>Ishaan Singh | Class 8 | 81%</v>
      </c>
    </row>
    <row r="73" spans="1:4" x14ac:dyDescent="0.3">
      <c r="A73" s="11">
        <v>8</v>
      </c>
      <c r="B73" s="23" t="str">
        <f>'Class 8'!B5</f>
        <v>Ananya Sharma</v>
      </c>
      <c r="C73" s="24">
        <f>'Class 8'!P5</f>
        <v>0.8091666666666667</v>
      </c>
      <c r="D73" s="36" t="str">
        <f t="shared" si="4"/>
        <v>Ananya Sharma | Class 8 | 81%</v>
      </c>
    </row>
    <row r="74" spans="1:4" x14ac:dyDescent="0.3">
      <c r="A74" s="11">
        <v>8</v>
      </c>
      <c r="B74" s="23" t="str">
        <f>'Class 8'!B3</f>
        <v>Aarav Yadav</v>
      </c>
      <c r="C74" s="24">
        <f>'Class 8'!P3</f>
        <v>0.8075</v>
      </c>
      <c r="D74" s="36" t="str">
        <f t="shared" si="4"/>
        <v>Aarav Yadav | Class 8 | 81%</v>
      </c>
    </row>
    <row r="75" spans="1:4" x14ac:dyDescent="0.3">
      <c r="A75" s="11">
        <v>8</v>
      </c>
      <c r="B75" s="23" t="str">
        <f>'Class 8'!B11</f>
        <v>Pooja Mehta</v>
      </c>
      <c r="C75" s="24">
        <f>'Class 8'!P11</f>
        <v>0.80583333333333329</v>
      </c>
      <c r="D75" s="36" t="str">
        <f t="shared" si="4"/>
        <v>Pooja Mehta | Class 8 | 81%</v>
      </c>
    </row>
    <row r="76" spans="1:4" x14ac:dyDescent="0.3">
      <c r="A76" s="11">
        <v>8</v>
      </c>
      <c r="B76" s="23" t="str">
        <f>'Class 8'!B24</f>
        <v>Deepak Mehta</v>
      </c>
      <c r="C76" s="24">
        <f>'Class 8'!P24</f>
        <v>0.80583333333333329</v>
      </c>
      <c r="D76" s="36" t="str">
        <f t="shared" si="4"/>
        <v>Deepak Mehta | Class 8 | 81%</v>
      </c>
    </row>
    <row r="77" spans="1:4" x14ac:dyDescent="0.3">
      <c r="A77" s="11">
        <v>8</v>
      </c>
      <c r="B77" s="23" t="str">
        <f>'Class 8'!B28</f>
        <v>Harsh Mehta</v>
      </c>
      <c r="C77" s="24">
        <f>'Class 8'!P28</f>
        <v>0.80583333333333329</v>
      </c>
      <c r="D77" s="36" t="str">
        <f t="shared" si="4"/>
        <v>Harsh Mehta | Class 8 | 81%</v>
      </c>
    </row>
    <row r="78" spans="1:4" x14ac:dyDescent="0.3">
      <c r="A78" s="11">
        <v>8</v>
      </c>
      <c r="B78" s="23" t="str">
        <f>'Class 8'!B9</f>
        <v>Kavya Sharma</v>
      </c>
      <c r="C78" s="24">
        <f>'Class 8'!P9</f>
        <v>0.80249999999999999</v>
      </c>
      <c r="D78" s="36" t="str">
        <f t="shared" si="4"/>
        <v>Kavya Sharma | Class 8 | 80%</v>
      </c>
    </row>
    <row r="79" spans="1:4" x14ac:dyDescent="0.3">
      <c r="A79" s="11">
        <v>8</v>
      </c>
      <c r="B79" s="23" t="str">
        <f>'Class 8'!B31</f>
        <v>Shreya Verma</v>
      </c>
      <c r="C79" s="24">
        <f>'Class 8'!P31</f>
        <v>0.80249999999999999</v>
      </c>
      <c r="D79" s="36" t="str">
        <f t="shared" si="4"/>
        <v>Shreya Verma | Class 8 | 80%</v>
      </c>
    </row>
    <row r="80" spans="1:4" x14ac:dyDescent="0.3">
      <c r="A80" s="11">
        <v>8</v>
      </c>
      <c r="B80" s="23" t="str">
        <f>'Class 8'!B17</f>
        <v>Tanya Yadav</v>
      </c>
      <c r="C80" s="24">
        <f>'Class 8'!P17</f>
        <v>0.79916666666666669</v>
      </c>
      <c r="D80" s="36" t="str">
        <f t="shared" si="4"/>
        <v>Tanya Yadav | Class 8 | 80%</v>
      </c>
    </row>
    <row r="81" spans="1:4" x14ac:dyDescent="0.3">
      <c r="A81" s="11">
        <v>8</v>
      </c>
      <c r="B81" s="23" t="str">
        <f>'Class 8'!B16</f>
        <v>Rahul Singh</v>
      </c>
      <c r="C81" s="24">
        <f>'Class 8'!P16</f>
        <v>0.79666666666666663</v>
      </c>
      <c r="D81" s="36" t="str">
        <f t="shared" si="4"/>
        <v>Rahul Singh | Class 8 | 80%</v>
      </c>
    </row>
    <row r="82" spans="1:4" x14ac:dyDescent="0.3">
      <c r="A82" s="11">
        <v>8</v>
      </c>
      <c r="B82" s="23" t="str">
        <f>'Class 8'!B19</f>
        <v>Isha Jain</v>
      </c>
      <c r="C82" s="24">
        <f>'Class 8'!P19</f>
        <v>0.79583333333333328</v>
      </c>
      <c r="D82" s="36" t="str">
        <f t="shared" si="4"/>
        <v>Isha Jain | Class 8 | 80%</v>
      </c>
    </row>
    <row r="83" spans="1:4" x14ac:dyDescent="0.3">
      <c r="A83" s="11">
        <v>8</v>
      </c>
      <c r="B83" s="23" t="str">
        <f>'Class 8'!B18</f>
        <v>Aman Gupta</v>
      </c>
      <c r="C83" s="24">
        <f>'Class 8'!P18</f>
        <v>0.79166666666666663</v>
      </c>
      <c r="D83" s="36" t="str">
        <f t="shared" si="4"/>
        <v>Aman Gupta | Class 8 | 79%</v>
      </c>
    </row>
    <row r="84" spans="1:4" x14ac:dyDescent="0.3">
      <c r="A84" s="11">
        <v>8</v>
      </c>
      <c r="B84" s="23" t="str">
        <f>'Class 8'!B4</f>
        <v>Vihaan Verma</v>
      </c>
      <c r="C84" s="24">
        <f>'Class 8'!P4</f>
        <v>0.79083333333333339</v>
      </c>
      <c r="D84" s="36" t="str">
        <f t="shared" si="4"/>
        <v>Vihaan Verma | Class 8 | 79%</v>
      </c>
    </row>
    <row r="85" spans="1:4" x14ac:dyDescent="0.3">
      <c r="A85" s="11">
        <v>8</v>
      </c>
      <c r="B85" s="23" t="str">
        <f>'Class 8'!B23</f>
        <v>Priyanka Mehta</v>
      </c>
      <c r="C85" s="24">
        <f>'Class 8'!P23</f>
        <v>0.79</v>
      </c>
      <c r="D85" s="36" t="str">
        <f t="shared" si="4"/>
        <v>Priyanka Mehta | Class 8 | 79%</v>
      </c>
    </row>
    <row r="86" spans="1:4" x14ac:dyDescent="0.3">
      <c r="A86" s="11">
        <v>8</v>
      </c>
      <c r="B86" s="23" t="str">
        <f>'Class 8'!B27</f>
        <v>Neha Jain</v>
      </c>
      <c r="C86" s="24">
        <f>'Class 8'!P27</f>
        <v>0.79</v>
      </c>
      <c r="D86" s="36" t="str">
        <f t="shared" si="4"/>
        <v>Neha Jain | Class 8 | 79%</v>
      </c>
    </row>
    <row r="87" spans="1:4" x14ac:dyDescent="0.3">
      <c r="A87" s="11">
        <v>8</v>
      </c>
      <c r="B87" s="23" t="str">
        <f>'Class 8'!B10</f>
        <v>Rohan Kumar</v>
      </c>
      <c r="C87" s="24">
        <f>'Class 8'!P10</f>
        <v>0.78916666666666668</v>
      </c>
      <c r="D87" s="36" t="str">
        <f t="shared" si="4"/>
        <v>Rohan Kumar | Class 8 | 79%</v>
      </c>
    </row>
    <row r="88" spans="1:4" x14ac:dyDescent="0.3">
      <c r="A88" s="11">
        <v>8</v>
      </c>
      <c r="B88" s="23" t="str">
        <f>'Class 8'!B15</f>
        <v>Meera Yadav</v>
      </c>
      <c r="C88" s="24">
        <f>'Class 8'!P15</f>
        <v>0.78416666666666668</v>
      </c>
      <c r="D88" s="36" t="str">
        <f t="shared" si="4"/>
        <v>Meera Yadav | Class 8 | 78%</v>
      </c>
    </row>
    <row r="89" spans="1:4" x14ac:dyDescent="0.3">
      <c r="A89" s="11">
        <v>8</v>
      </c>
      <c r="B89" s="23" t="str">
        <f>'Class 8'!B13</f>
        <v>Sneha Jain</v>
      </c>
      <c r="C89" s="24">
        <f>'Class 8'!P13</f>
        <v>0.78166666666666662</v>
      </c>
      <c r="D89" s="36" t="str">
        <f t="shared" si="4"/>
        <v>Sneha Jain | Class 8 | 78%</v>
      </c>
    </row>
    <row r="90" spans="1:4" x14ac:dyDescent="0.3">
      <c r="A90" s="11">
        <v>8</v>
      </c>
      <c r="B90" s="23" t="str">
        <f>'Class 8'!B7</f>
        <v>Diya Sharma</v>
      </c>
      <c r="C90" s="24">
        <f>'Class 8'!P7</f>
        <v>0.77833333333333332</v>
      </c>
      <c r="D90" s="36" t="str">
        <f t="shared" si="4"/>
        <v>Diya Sharma | Class 8 | 78%</v>
      </c>
    </row>
    <row r="91" spans="1:4" x14ac:dyDescent="0.3">
      <c r="A91" s="11">
        <v>8</v>
      </c>
      <c r="B91" s="23" t="str">
        <f>'Class 8'!B21</f>
        <v>Ritu Verma</v>
      </c>
      <c r="C91" s="24">
        <f>'Class 8'!P21</f>
        <v>0.75416666666666665</v>
      </c>
      <c r="D91" s="36" t="str">
        <f t="shared" si="4"/>
        <v>Ritu Verma | Class 8 | 75%</v>
      </c>
    </row>
    <row r="92" spans="1:4" x14ac:dyDescent="0.3">
      <c r="A92" s="11">
        <v>8</v>
      </c>
      <c r="B92" s="23" t="str">
        <f>'Class 8'!B30</f>
        <v>Rajesh Singh</v>
      </c>
      <c r="C92" s="24">
        <f>'Class 8'!P30</f>
        <v>0.71916666666666662</v>
      </c>
      <c r="D92" s="36" t="str">
        <f t="shared" si="4"/>
        <v>Rajesh Singh | Class 8 | 72%</v>
      </c>
    </row>
    <row r="93" spans="1:4" x14ac:dyDescent="0.3">
      <c r="A93" s="11">
        <v>9</v>
      </c>
      <c r="B93" s="23" t="str">
        <f>'Class 9'!B10</f>
        <v>Rohan Yadav</v>
      </c>
      <c r="C93" s="24">
        <f>'Class 9'!P10</f>
        <v>0.83250000000000002</v>
      </c>
      <c r="D93" s="36" t="str">
        <f t="shared" si="4"/>
        <v>Rohan Yadav | Class 9 | 83%</v>
      </c>
    </row>
    <row r="94" spans="1:4" x14ac:dyDescent="0.3">
      <c r="A94" s="11">
        <v>9</v>
      </c>
      <c r="B94" s="23" t="str">
        <f>'Class 9'!B20</f>
        <v>Nikhil Yadav</v>
      </c>
      <c r="C94" s="24">
        <f>'Class 9'!P20</f>
        <v>0.82499999999999996</v>
      </c>
      <c r="D94" s="36" t="str">
        <f t="shared" si="4"/>
        <v>Nikhil Yadav | Class 9 | 83%</v>
      </c>
    </row>
    <row r="95" spans="1:4" x14ac:dyDescent="0.3">
      <c r="A95" s="11">
        <v>9</v>
      </c>
      <c r="B95" s="23" t="str">
        <f>'Class 9'!B25</f>
        <v>Simran Singh</v>
      </c>
      <c r="C95" s="24">
        <f>'Class 9'!P25</f>
        <v>0.82333333333333336</v>
      </c>
      <c r="D95" s="36" t="str">
        <f t="shared" si="4"/>
        <v>Simran Singh | Class 9 | 82%</v>
      </c>
    </row>
    <row r="96" spans="1:4" x14ac:dyDescent="0.3">
      <c r="A96" s="11">
        <v>9</v>
      </c>
      <c r="B96" s="23" t="str">
        <f>'Class 9'!B28</f>
        <v>Harsh Patel</v>
      </c>
      <c r="C96" s="24">
        <f>'Class 9'!P28</f>
        <v>0.82166666666666666</v>
      </c>
      <c r="D96" s="36" t="str">
        <f t="shared" si="4"/>
        <v>Harsh Patel | Class 9 | 82%</v>
      </c>
    </row>
    <row r="97" spans="1:4" x14ac:dyDescent="0.3">
      <c r="A97" s="11">
        <v>9</v>
      </c>
      <c r="B97" s="23" t="str">
        <f>'Class 9'!B8</f>
        <v>Aditya Yadav</v>
      </c>
      <c r="C97" s="24">
        <f>'Class 9'!P8</f>
        <v>0.81916666666666671</v>
      </c>
      <c r="D97" s="36" t="str">
        <f t="shared" si="4"/>
        <v>Aditya Yadav | Class 9 | 82%</v>
      </c>
    </row>
    <row r="98" spans="1:4" x14ac:dyDescent="0.3">
      <c r="A98" s="11">
        <v>9</v>
      </c>
      <c r="B98" s="23" t="str">
        <f>'Class 9'!B18</f>
        <v>Aman Mehta</v>
      </c>
      <c r="C98" s="24">
        <f>'Class 9'!P18</f>
        <v>0.81916666666666671</v>
      </c>
      <c r="D98" s="36" t="str">
        <f t="shared" si="4"/>
        <v>Aman Mehta | Class 9 | 82%</v>
      </c>
    </row>
    <row r="99" spans="1:4" x14ac:dyDescent="0.3">
      <c r="A99" s="11">
        <v>9</v>
      </c>
      <c r="B99" s="23" t="str">
        <f>'Class 9'!B21</f>
        <v>Ritu Yadav</v>
      </c>
      <c r="C99" s="24">
        <f>'Class 9'!P21</f>
        <v>0.81916666666666671</v>
      </c>
      <c r="D99" s="36" t="str">
        <f t="shared" ref="D99:D130" si="5">B99 &amp; " | Class " &amp; A99 &amp; " | " &amp; ROUND(C99*100,0) &amp; "%"</f>
        <v>Ritu Yadav | Class 9 | 82%</v>
      </c>
    </row>
    <row r="100" spans="1:4" x14ac:dyDescent="0.3">
      <c r="A100" s="11">
        <v>9</v>
      </c>
      <c r="B100" s="23" t="str">
        <f>'Class 9'!B12</f>
        <v>Arjun Sharma</v>
      </c>
      <c r="C100" s="24">
        <f>'Class 9'!P12</f>
        <v>0.81333333333333335</v>
      </c>
      <c r="D100" s="36" t="str">
        <f t="shared" si="5"/>
        <v>Arjun Sharma | Class 9 | 81%</v>
      </c>
    </row>
    <row r="101" spans="1:4" x14ac:dyDescent="0.3">
      <c r="A101" s="11">
        <v>9</v>
      </c>
      <c r="B101" s="23" t="str">
        <f>'Class 9'!B30</f>
        <v>Rajesh Joshi</v>
      </c>
      <c r="C101" s="24">
        <f>'Class 9'!P30</f>
        <v>0.81083333333333329</v>
      </c>
      <c r="D101" s="36" t="str">
        <f t="shared" si="5"/>
        <v>Rajesh Joshi | Class 9 | 81%</v>
      </c>
    </row>
    <row r="102" spans="1:4" x14ac:dyDescent="0.3">
      <c r="A102" s="11">
        <v>9</v>
      </c>
      <c r="B102" s="23" t="str">
        <f>'Class 9'!B32</f>
        <v>Manish Yadav</v>
      </c>
      <c r="C102" s="24">
        <f>'Class 9'!P32</f>
        <v>0.81</v>
      </c>
      <c r="D102" s="36" t="str">
        <f t="shared" si="5"/>
        <v>Manish Yadav | Class 9 | 81%</v>
      </c>
    </row>
    <row r="103" spans="1:4" x14ac:dyDescent="0.3">
      <c r="A103" s="11">
        <v>9</v>
      </c>
      <c r="B103" s="23" t="str">
        <f>'Class 9'!B26</f>
        <v>Varun Patel</v>
      </c>
      <c r="C103" s="24">
        <f>'Class 9'!P26</f>
        <v>0.80500000000000005</v>
      </c>
      <c r="D103" s="36" t="str">
        <f t="shared" si="5"/>
        <v>Varun Patel | Class 9 | 81%</v>
      </c>
    </row>
    <row r="104" spans="1:4" x14ac:dyDescent="0.3">
      <c r="A104" s="11">
        <v>9</v>
      </c>
      <c r="B104" s="23" t="str">
        <f>'Class 9'!B3</f>
        <v>Aarav Sharma</v>
      </c>
      <c r="C104" s="24">
        <f>'Class 9'!P3</f>
        <v>0.80249999999999999</v>
      </c>
      <c r="D104" s="36" t="str">
        <f t="shared" si="5"/>
        <v>Aarav Sharma | Class 9 | 80%</v>
      </c>
    </row>
    <row r="105" spans="1:4" x14ac:dyDescent="0.3">
      <c r="A105" s="11">
        <v>9</v>
      </c>
      <c r="B105" s="23" t="str">
        <f>'Class 9'!B4</f>
        <v>Vihaan Singh</v>
      </c>
      <c r="C105" s="24">
        <f>'Class 9'!P4</f>
        <v>0.80249999999999999</v>
      </c>
      <c r="D105" s="36" t="str">
        <f t="shared" si="5"/>
        <v>Vihaan Singh | Class 9 | 80%</v>
      </c>
    </row>
    <row r="106" spans="1:4" x14ac:dyDescent="0.3">
      <c r="A106" s="11">
        <v>9</v>
      </c>
      <c r="B106" s="23" t="str">
        <f>'Class 9'!B14</f>
        <v>Karan Sharma</v>
      </c>
      <c r="C106" s="24">
        <f>'Class 9'!P14</f>
        <v>0.8</v>
      </c>
      <c r="D106" s="36" t="str">
        <f t="shared" si="5"/>
        <v>Karan Sharma | Class 9 | 80%</v>
      </c>
    </row>
    <row r="107" spans="1:4" x14ac:dyDescent="0.3">
      <c r="A107" s="11">
        <v>9</v>
      </c>
      <c r="B107" s="23" t="str">
        <f>'Class 9'!B29</f>
        <v>Sakshi Patel</v>
      </c>
      <c r="C107" s="24">
        <f>'Class 9'!P29</f>
        <v>0.79833333333333334</v>
      </c>
      <c r="D107" s="36" t="str">
        <f t="shared" si="5"/>
        <v>Sakshi Patel | Class 9 | 80%</v>
      </c>
    </row>
    <row r="108" spans="1:4" x14ac:dyDescent="0.3">
      <c r="A108" s="11">
        <v>9</v>
      </c>
      <c r="B108" s="23" t="str">
        <f>'Class 9'!B11</f>
        <v>Pooja Jain</v>
      </c>
      <c r="C108" s="24">
        <f>'Class 9'!P11</f>
        <v>0.79583333333333328</v>
      </c>
      <c r="D108" s="36" t="str">
        <f t="shared" si="5"/>
        <v>Pooja Jain | Class 9 | 80%</v>
      </c>
    </row>
    <row r="109" spans="1:4" x14ac:dyDescent="0.3">
      <c r="A109" s="11">
        <v>9</v>
      </c>
      <c r="B109" s="23" t="str">
        <f>'Class 9'!B22</f>
        <v>Yash Mehta</v>
      </c>
      <c r="C109" s="24">
        <f>'Class 9'!P22</f>
        <v>0.79333333333333333</v>
      </c>
      <c r="D109" s="36" t="str">
        <f t="shared" si="5"/>
        <v>Yash Mehta | Class 9 | 79%</v>
      </c>
    </row>
    <row r="110" spans="1:4" x14ac:dyDescent="0.3">
      <c r="A110" s="11">
        <v>9</v>
      </c>
      <c r="B110" s="23" t="str">
        <f>'Class 9'!B16</f>
        <v>Rahul Singh</v>
      </c>
      <c r="C110" s="24">
        <f>'Class 9'!P16</f>
        <v>0.79083333333333339</v>
      </c>
      <c r="D110" s="36" t="str">
        <f t="shared" si="5"/>
        <v>Rahul Singh | Class 9 | 79%</v>
      </c>
    </row>
    <row r="111" spans="1:4" x14ac:dyDescent="0.3">
      <c r="A111" s="11">
        <v>9</v>
      </c>
      <c r="B111" s="23" t="str">
        <f>'Class 9'!B17</f>
        <v>Tanya Singh</v>
      </c>
      <c r="C111" s="24">
        <f>'Class 9'!P17</f>
        <v>0.79083333333333339</v>
      </c>
      <c r="D111" s="36" t="str">
        <f t="shared" si="5"/>
        <v>Tanya Singh | Class 9 | 79%</v>
      </c>
    </row>
    <row r="112" spans="1:4" x14ac:dyDescent="0.3">
      <c r="A112" s="11">
        <v>9</v>
      </c>
      <c r="B112" s="23" t="str">
        <f>'Class 9'!B13</f>
        <v>Sneha Kumar</v>
      </c>
      <c r="C112" s="24">
        <f>'Class 9'!P13</f>
        <v>0.79</v>
      </c>
      <c r="D112" s="36" t="str">
        <f t="shared" si="5"/>
        <v>Sneha Kumar | Class 9 | 79%</v>
      </c>
    </row>
    <row r="113" spans="1:4" x14ac:dyDescent="0.3">
      <c r="A113" s="11">
        <v>9</v>
      </c>
      <c r="B113" s="23" t="str">
        <f>'Class 9'!B31</f>
        <v>Shreya Singh</v>
      </c>
      <c r="C113" s="24">
        <f>'Class 9'!P31</f>
        <v>0.79</v>
      </c>
      <c r="D113" s="36" t="str">
        <f t="shared" si="5"/>
        <v>Shreya Singh | Class 9 | 79%</v>
      </c>
    </row>
    <row r="114" spans="1:4" x14ac:dyDescent="0.3">
      <c r="A114" s="11">
        <v>9</v>
      </c>
      <c r="B114" s="23" t="str">
        <f>'Class 9'!B7</f>
        <v>Diya Sharma</v>
      </c>
      <c r="C114" s="24">
        <f>'Class 9'!P7</f>
        <v>0.78749999999999998</v>
      </c>
      <c r="D114" s="36" t="str">
        <f t="shared" si="5"/>
        <v>Diya Sharma | Class 9 | 79%</v>
      </c>
    </row>
    <row r="115" spans="1:4" x14ac:dyDescent="0.3">
      <c r="A115" s="11">
        <v>9</v>
      </c>
      <c r="B115" s="23" t="str">
        <f>'Class 9'!B24</f>
        <v>Deepak Verma</v>
      </c>
      <c r="C115" s="24">
        <f>'Class 9'!P24</f>
        <v>0.78249999999999997</v>
      </c>
      <c r="D115" s="36" t="str">
        <f t="shared" si="5"/>
        <v>Deepak Verma | Class 9 | 78%</v>
      </c>
    </row>
    <row r="116" spans="1:4" x14ac:dyDescent="0.3">
      <c r="A116" s="11">
        <v>9</v>
      </c>
      <c r="B116" s="23" t="str">
        <f>'Class 9'!B23</f>
        <v>Priyanka Yadav</v>
      </c>
      <c r="C116" s="24">
        <f>'Class 9'!P23</f>
        <v>0.78</v>
      </c>
      <c r="D116" s="36" t="str">
        <f t="shared" si="5"/>
        <v>Priyanka Yadav | Class 9 | 78%</v>
      </c>
    </row>
    <row r="117" spans="1:4" x14ac:dyDescent="0.3">
      <c r="A117" s="11">
        <v>9</v>
      </c>
      <c r="B117" s="23" t="str">
        <f>'Class 9'!B5</f>
        <v>Ananya Kumar</v>
      </c>
      <c r="C117" s="24">
        <f>'Class 9'!P5</f>
        <v>0.77666666666666662</v>
      </c>
      <c r="D117" s="36" t="str">
        <f t="shared" si="5"/>
        <v>Ananya Kumar | Class 9 | 78%</v>
      </c>
    </row>
    <row r="118" spans="1:4" x14ac:dyDescent="0.3">
      <c r="A118" s="11">
        <v>9</v>
      </c>
      <c r="B118" s="23" t="str">
        <f>'Class 9'!B27</f>
        <v>Neha Mehta</v>
      </c>
      <c r="C118" s="24">
        <f>'Class 9'!P27</f>
        <v>0.77666666666666662</v>
      </c>
      <c r="D118" s="36" t="str">
        <f t="shared" si="5"/>
        <v>Neha Mehta | Class 9 | 78%</v>
      </c>
    </row>
    <row r="119" spans="1:4" x14ac:dyDescent="0.3">
      <c r="A119" s="11">
        <v>9</v>
      </c>
      <c r="B119" s="23" t="str">
        <f>'Class 9'!B9</f>
        <v>Kavya Mehta</v>
      </c>
      <c r="C119" s="24">
        <f>'Class 9'!P9</f>
        <v>0.77583333333333337</v>
      </c>
      <c r="D119" s="36" t="str">
        <f t="shared" si="5"/>
        <v>Kavya Mehta | Class 9 | 78%</v>
      </c>
    </row>
    <row r="120" spans="1:4" x14ac:dyDescent="0.3">
      <c r="A120" s="11">
        <v>9</v>
      </c>
      <c r="B120" s="23" t="str">
        <f>'Class 9'!B19</f>
        <v>Isha Gupta</v>
      </c>
      <c r="C120" s="24">
        <f>'Class 9'!P19</f>
        <v>0.77166666666666661</v>
      </c>
      <c r="D120" s="36" t="str">
        <f t="shared" si="5"/>
        <v>Isha Gupta | Class 9 | 77%</v>
      </c>
    </row>
    <row r="121" spans="1:4" x14ac:dyDescent="0.3">
      <c r="A121" s="11">
        <v>9</v>
      </c>
      <c r="B121" s="23" t="str">
        <f>'Class 9'!B6</f>
        <v>Ishaan Verma</v>
      </c>
      <c r="C121" s="24">
        <f>'Class 9'!P6</f>
        <v>0.76500000000000001</v>
      </c>
      <c r="D121" s="36" t="str">
        <f t="shared" si="5"/>
        <v>Ishaan Verma | Class 9 | 77%</v>
      </c>
    </row>
    <row r="122" spans="1:4" x14ac:dyDescent="0.3">
      <c r="A122" s="11">
        <v>9</v>
      </c>
      <c r="B122" s="23" t="str">
        <f>'Class 9'!B15</f>
        <v>Meera Kumar</v>
      </c>
      <c r="C122" s="24">
        <f>'Class 9'!P15</f>
        <v>0.76500000000000001</v>
      </c>
      <c r="D122" s="36" t="str">
        <f t="shared" si="5"/>
        <v>Meera Kumar | Class 9 | 77%</v>
      </c>
    </row>
    <row r="123" spans="1:4" x14ac:dyDescent="0.3">
      <c r="A123" s="11">
        <v>10</v>
      </c>
      <c r="B123" s="23" t="str">
        <f>'Class 10'!B28</f>
        <v>Harsh Jain</v>
      </c>
      <c r="C123" s="24">
        <f>'Class 10'!P28</f>
        <v>0.87250000000000005</v>
      </c>
      <c r="D123" s="36" t="str">
        <f t="shared" si="5"/>
        <v>Harsh Jain | Class 10 | 87%</v>
      </c>
    </row>
    <row r="124" spans="1:4" x14ac:dyDescent="0.3">
      <c r="A124" s="11">
        <v>10</v>
      </c>
      <c r="B124" s="23" t="str">
        <f>'Class 10'!B30</f>
        <v>Rajesh Singh</v>
      </c>
      <c r="C124" s="24">
        <f>'Class 10'!P30</f>
        <v>0.84166666666666667</v>
      </c>
      <c r="D124" s="36" t="str">
        <f t="shared" si="5"/>
        <v>Rajesh Singh | Class 10 | 84%</v>
      </c>
    </row>
    <row r="125" spans="1:4" x14ac:dyDescent="0.3">
      <c r="A125" s="11">
        <v>10</v>
      </c>
      <c r="B125" s="23" t="str">
        <f>'Class 10'!B8</f>
        <v>Aditya Yadav</v>
      </c>
      <c r="C125" s="24">
        <f>'Class 10'!P8</f>
        <v>0.83583333333333332</v>
      </c>
      <c r="D125" s="36" t="str">
        <f t="shared" si="5"/>
        <v>Aditya Yadav | Class 10 | 84%</v>
      </c>
    </row>
    <row r="126" spans="1:4" x14ac:dyDescent="0.3">
      <c r="A126" s="11">
        <v>10</v>
      </c>
      <c r="B126" s="23" t="str">
        <f>'Class 10'!B25</f>
        <v>Simran Jain</v>
      </c>
      <c r="C126" s="24">
        <f>'Class 10'!P25</f>
        <v>0.83583333333333332</v>
      </c>
      <c r="D126" s="36" t="str">
        <f t="shared" si="5"/>
        <v>Simran Jain | Class 10 | 84%</v>
      </c>
    </row>
    <row r="127" spans="1:4" x14ac:dyDescent="0.3">
      <c r="A127" s="11">
        <v>10</v>
      </c>
      <c r="B127" s="23" t="str">
        <f>'Class 10'!B11</f>
        <v>Pooja Yadav</v>
      </c>
      <c r="C127" s="24">
        <f>'Class 10'!P11</f>
        <v>0.83083333333333331</v>
      </c>
      <c r="D127" s="36" t="str">
        <f t="shared" si="5"/>
        <v>Pooja Yadav | Class 10 | 83%</v>
      </c>
    </row>
    <row r="128" spans="1:4" x14ac:dyDescent="0.3">
      <c r="A128" s="11">
        <v>10</v>
      </c>
      <c r="B128" s="23" t="str">
        <f>'Class 10'!B15</f>
        <v>Meera Yadav</v>
      </c>
      <c r="C128" s="24">
        <f>'Class 10'!P15</f>
        <v>0.82750000000000001</v>
      </c>
      <c r="D128" s="36" t="str">
        <f t="shared" si="5"/>
        <v>Meera Yadav | Class 10 | 83%</v>
      </c>
    </row>
    <row r="129" spans="1:4" x14ac:dyDescent="0.3">
      <c r="A129" s="11">
        <v>10</v>
      </c>
      <c r="B129" s="23" t="str">
        <f>'Class 10'!B12</f>
        <v>Arjun Sharma</v>
      </c>
      <c r="C129" s="24">
        <f>'Class 10'!P12</f>
        <v>0.82499999999999996</v>
      </c>
      <c r="D129" s="36" t="str">
        <f t="shared" si="5"/>
        <v>Arjun Sharma | Class 10 | 83%</v>
      </c>
    </row>
    <row r="130" spans="1:4" x14ac:dyDescent="0.3">
      <c r="A130" s="11">
        <v>10</v>
      </c>
      <c r="B130" s="23" t="str">
        <f>'Class 10'!B13</f>
        <v>Sneha Verma</v>
      </c>
      <c r="C130" s="24">
        <f>'Class 10'!P13</f>
        <v>0.8208333333333333</v>
      </c>
      <c r="D130" s="36" t="str">
        <f t="shared" si="5"/>
        <v>Sneha Verma | Class 10 | 82%</v>
      </c>
    </row>
    <row r="131" spans="1:4" x14ac:dyDescent="0.3">
      <c r="A131" s="11">
        <v>10</v>
      </c>
      <c r="B131" s="23" t="str">
        <f>'Class 10'!B9</f>
        <v>Kavya Sharma</v>
      </c>
      <c r="C131" s="24">
        <f>'Class 10'!P9</f>
        <v>0.82</v>
      </c>
      <c r="D131" s="36" t="str">
        <f t="shared" ref="D131:D152" si="6">B131 &amp; " | Class " &amp; A131 &amp; " | " &amp; ROUND(C131*100,0) &amp; "%"</f>
        <v>Kavya Sharma | Class 10 | 82%</v>
      </c>
    </row>
    <row r="132" spans="1:4" x14ac:dyDescent="0.3">
      <c r="A132" s="11">
        <v>10</v>
      </c>
      <c r="B132" s="23" t="str">
        <f>'Class 10'!B17</f>
        <v>Tanya Verma</v>
      </c>
      <c r="C132" s="24">
        <f>'Class 10'!P17</f>
        <v>0.81666666666666665</v>
      </c>
      <c r="D132" s="36" t="str">
        <f t="shared" si="6"/>
        <v>Tanya Verma | Class 10 | 82%</v>
      </c>
    </row>
    <row r="133" spans="1:4" x14ac:dyDescent="0.3">
      <c r="A133" s="11">
        <v>10</v>
      </c>
      <c r="B133" s="23" t="str">
        <f>'Class 10'!B24</f>
        <v>Deepak Yadav</v>
      </c>
      <c r="C133" s="24">
        <f>'Class 10'!P24</f>
        <v>0.8158333333333333</v>
      </c>
      <c r="D133" s="36" t="str">
        <f t="shared" si="6"/>
        <v>Deepak Yadav | Class 10 | 82%</v>
      </c>
    </row>
    <row r="134" spans="1:4" x14ac:dyDescent="0.3">
      <c r="A134" s="11">
        <v>10</v>
      </c>
      <c r="B134" s="23" t="str">
        <f>'Class 10'!B4</f>
        <v>Vihaan Mehta</v>
      </c>
      <c r="C134" s="24">
        <f>'Class 10'!P4</f>
        <v>0.81499999999999995</v>
      </c>
      <c r="D134" s="36" t="str">
        <f t="shared" si="6"/>
        <v>Vihaan Mehta | Class 10 | 82%</v>
      </c>
    </row>
    <row r="135" spans="1:4" x14ac:dyDescent="0.3">
      <c r="A135" s="11">
        <v>10</v>
      </c>
      <c r="B135" s="23" t="str">
        <f>'Class 10'!B14</f>
        <v>Karan Gupta</v>
      </c>
      <c r="C135" s="24">
        <f>'Class 10'!P14</f>
        <v>0.81166666666666665</v>
      </c>
      <c r="D135" s="36" t="str">
        <f t="shared" si="6"/>
        <v>Karan Gupta | Class 10 | 81%</v>
      </c>
    </row>
    <row r="136" spans="1:4" x14ac:dyDescent="0.3">
      <c r="A136" s="11">
        <v>10</v>
      </c>
      <c r="B136" s="23" t="str">
        <f>'Class 10'!B20</f>
        <v>Nikhil Mehta</v>
      </c>
      <c r="C136" s="24">
        <f>'Class 10'!P20</f>
        <v>0.81083333333333329</v>
      </c>
      <c r="D136" s="36" t="str">
        <f t="shared" si="6"/>
        <v>Nikhil Mehta | Class 10 | 81%</v>
      </c>
    </row>
    <row r="137" spans="1:4" x14ac:dyDescent="0.3">
      <c r="A137" s="11">
        <v>10</v>
      </c>
      <c r="B137" s="23" t="str">
        <f>'Class 10'!B16</f>
        <v>Rahul Jain</v>
      </c>
      <c r="C137" s="24">
        <f>'Class 10'!P16</f>
        <v>0.80583333333333329</v>
      </c>
      <c r="D137" s="36" t="str">
        <f t="shared" si="6"/>
        <v>Rahul Jain | Class 10 | 81%</v>
      </c>
    </row>
    <row r="138" spans="1:4" x14ac:dyDescent="0.3">
      <c r="A138" s="11">
        <v>10</v>
      </c>
      <c r="B138" s="23" t="str">
        <f>'Class 10'!B27</f>
        <v>Neha Joshi</v>
      </c>
      <c r="C138" s="24">
        <f>'Class 10'!P27</f>
        <v>0.80333333333333334</v>
      </c>
      <c r="D138" s="36" t="str">
        <f t="shared" si="6"/>
        <v>Neha Joshi | Class 10 | 80%</v>
      </c>
    </row>
    <row r="139" spans="1:4" x14ac:dyDescent="0.3">
      <c r="A139" s="11">
        <v>10</v>
      </c>
      <c r="B139" s="23" t="str">
        <f>'Class 10'!B10</f>
        <v>Rohan Mehta</v>
      </c>
      <c r="C139" s="24">
        <f>'Class 10'!P10</f>
        <v>0.80249999999999999</v>
      </c>
      <c r="D139" s="36" t="str">
        <f t="shared" si="6"/>
        <v>Rohan Mehta | Class 10 | 80%</v>
      </c>
    </row>
    <row r="140" spans="1:4" x14ac:dyDescent="0.3">
      <c r="A140" s="11">
        <v>10</v>
      </c>
      <c r="B140" s="23" t="str">
        <f>'Class 10'!B22</f>
        <v>Yash Joshi</v>
      </c>
      <c r="C140" s="24">
        <f>'Class 10'!P22</f>
        <v>0.80249999999999999</v>
      </c>
      <c r="D140" s="36" t="str">
        <f t="shared" si="6"/>
        <v>Yash Joshi | Class 10 | 80%</v>
      </c>
    </row>
    <row r="141" spans="1:4" x14ac:dyDescent="0.3">
      <c r="A141" s="11">
        <v>10</v>
      </c>
      <c r="B141" s="23" t="str">
        <f>'Class 10'!B31</f>
        <v>Shreya Singh</v>
      </c>
      <c r="C141" s="24">
        <f>'Class 10'!P31</f>
        <v>0.80166666666666664</v>
      </c>
      <c r="D141" s="36" t="str">
        <f t="shared" si="6"/>
        <v>Shreya Singh | Class 10 | 80%</v>
      </c>
    </row>
    <row r="142" spans="1:4" x14ac:dyDescent="0.3">
      <c r="A142" s="11">
        <v>10</v>
      </c>
      <c r="B142" s="23" t="str">
        <f>'Class 10'!B6</f>
        <v>Ishaan Patel</v>
      </c>
      <c r="C142" s="24">
        <f>'Class 10'!P6</f>
        <v>0.80083333333333329</v>
      </c>
      <c r="D142" s="36" t="str">
        <f t="shared" si="6"/>
        <v>Ishaan Patel | Class 10 | 80%</v>
      </c>
    </row>
    <row r="143" spans="1:4" x14ac:dyDescent="0.3">
      <c r="A143" s="11">
        <v>10</v>
      </c>
      <c r="B143" s="23" t="str">
        <f>'Class 10'!B21</f>
        <v>Ritu Mehta</v>
      </c>
      <c r="C143" s="24">
        <f>'Class 10'!P21</f>
        <v>0.79666666666666663</v>
      </c>
      <c r="D143" s="36" t="str">
        <f t="shared" si="6"/>
        <v>Ritu Mehta | Class 10 | 80%</v>
      </c>
    </row>
    <row r="144" spans="1:4" x14ac:dyDescent="0.3">
      <c r="A144" s="11">
        <v>10</v>
      </c>
      <c r="B144" s="23" t="str">
        <f>'Class 10'!B3</f>
        <v>Aarav Yadav</v>
      </c>
      <c r="C144" s="24">
        <f>'Class 10'!P3</f>
        <v>0.79583333333333328</v>
      </c>
      <c r="D144" s="36" t="str">
        <f t="shared" si="6"/>
        <v>Aarav Yadav | Class 10 | 80%</v>
      </c>
    </row>
    <row r="145" spans="1:4" x14ac:dyDescent="0.3">
      <c r="A145" s="11">
        <v>10</v>
      </c>
      <c r="B145" s="23" t="str">
        <f>'Class 10'!B29</f>
        <v>Sakshi Sharma</v>
      </c>
      <c r="C145" s="24">
        <f>'Class 10'!P29</f>
        <v>0.79333333333333333</v>
      </c>
      <c r="D145" s="36" t="str">
        <f t="shared" si="6"/>
        <v>Sakshi Sharma | Class 10 | 79%</v>
      </c>
    </row>
    <row r="146" spans="1:4" x14ac:dyDescent="0.3">
      <c r="A146" s="11">
        <v>10</v>
      </c>
      <c r="B146" s="23" t="str">
        <f>'Class 10'!B26</f>
        <v>Varun Gupta</v>
      </c>
      <c r="C146" s="24">
        <f>'Class 10'!P26</f>
        <v>0.79083333333333339</v>
      </c>
      <c r="D146" s="36" t="str">
        <f t="shared" si="6"/>
        <v>Varun Gupta | Class 10 | 79%</v>
      </c>
    </row>
    <row r="147" spans="1:4" x14ac:dyDescent="0.3">
      <c r="A147" s="11">
        <v>10</v>
      </c>
      <c r="B147" s="23" t="str">
        <f>'Class 10'!B5</f>
        <v>Ananya Patel</v>
      </c>
      <c r="C147" s="24">
        <f>'Class 10'!P5</f>
        <v>0.78666666666666663</v>
      </c>
      <c r="D147" s="36" t="str">
        <f t="shared" si="6"/>
        <v>Ananya Patel | Class 10 | 79%</v>
      </c>
    </row>
    <row r="148" spans="1:4" x14ac:dyDescent="0.3">
      <c r="A148" s="11">
        <v>10</v>
      </c>
      <c r="B148" s="23" t="str">
        <f>'Class 10'!B19</f>
        <v>Isha Joshi</v>
      </c>
      <c r="C148" s="24">
        <f>'Class 10'!P19</f>
        <v>0.78083333333333338</v>
      </c>
      <c r="D148" s="36" t="str">
        <f t="shared" si="6"/>
        <v>Isha Joshi | Class 10 | 78%</v>
      </c>
    </row>
    <row r="149" spans="1:4" x14ac:dyDescent="0.3">
      <c r="A149" s="11">
        <v>10</v>
      </c>
      <c r="B149" s="23" t="str">
        <f>'Class 10'!B18</f>
        <v>Aman Patel</v>
      </c>
      <c r="C149" s="24">
        <f>'Class 10'!P18</f>
        <v>0.78</v>
      </c>
      <c r="D149" s="36" t="str">
        <f t="shared" si="6"/>
        <v>Aman Patel | Class 10 | 78%</v>
      </c>
    </row>
    <row r="150" spans="1:4" x14ac:dyDescent="0.3">
      <c r="A150" s="11">
        <v>10</v>
      </c>
      <c r="B150" s="23" t="str">
        <f>'Class 10'!B7</f>
        <v>Diya Singh</v>
      </c>
      <c r="C150" s="24">
        <f>'Class 10'!P7</f>
        <v>0.76416666666666666</v>
      </c>
      <c r="D150" s="36" t="str">
        <f t="shared" si="6"/>
        <v>Diya Singh | Class 10 | 76%</v>
      </c>
    </row>
    <row r="151" spans="1:4" x14ac:dyDescent="0.3">
      <c r="A151" s="11">
        <v>10</v>
      </c>
      <c r="B151" s="23" t="str">
        <f>'Class 10'!B23</f>
        <v>Priyanka Mehta</v>
      </c>
      <c r="C151" s="24">
        <f>'Class 10'!P23</f>
        <v>0.75916666666666666</v>
      </c>
      <c r="D151" s="36" t="str">
        <f t="shared" si="6"/>
        <v>Priyanka Mehta | Class 10 | 76%</v>
      </c>
    </row>
    <row r="152" spans="1:4" x14ac:dyDescent="0.3">
      <c r="A152" s="37">
        <v>10</v>
      </c>
      <c r="B152" s="23" t="str">
        <f>'Class 10'!B32</f>
        <v>Manish Sharma</v>
      </c>
      <c r="C152" s="24">
        <f>'Class 10'!P32</f>
        <v>0.76666666666666672</v>
      </c>
      <c r="D152" s="36" t="str">
        <f t="shared" si="6"/>
        <v>Manish Sharma | Class 10 | 77%</v>
      </c>
    </row>
  </sheetData>
  <mergeCells count="3">
    <mergeCell ref="A1:D1"/>
    <mergeCell ref="F1:I1"/>
    <mergeCell ref="K1:N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Teachers</vt:lpstr>
      <vt:lpstr>Class 6</vt:lpstr>
      <vt:lpstr>Class 7</vt:lpstr>
      <vt:lpstr>Class 8</vt:lpstr>
      <vt:lpstr>Class 9</vt:lpstr>
      <vt:lpstr>Class 10</vt:lpstr>
      <vt:lpstr>Events</vt:lpstr>
      <vt:lpstr>Pivot Table</vt:lpstr>
      <vt:lpstr>Exam timetable</vt:lpstr>
      <vt:lpstr>All Students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nitika tyagi</cp:lastModifiedBy>
  <dcterms:created xsi:type="dcterms:W3CDTF">2026-03-31T14:37:05Z</dcterms:created>
  <dcterms:modified xsi:type="dcterms:W3CDTF">2026-04-07T07:32:28Z</dcterms:modified>
</cp:coreProperties>
</file>